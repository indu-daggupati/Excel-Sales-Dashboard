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5E561ED21F437BBD/Documents/"/>
    </mc:Choice>
  </mc:AlternateContent>
  <xr:revisionPtr revIDLastSave="0" documentId="8_{93DCBDEB-FAD2-49FA-9910-907205153195}" xr6:coauthVersionLast="47" xr6:coauthVersionMax="47" xr10:uidLastSave="{00000000-0000-0000-0000-000000000000}"/>
  <bookViews>
    <workbookView xWindow="-108" yWindow="-108" windowWidth="23256" windowHeight="12456" xr2:uid="{00000000-000D-0000-FFFF-FFFF00000000}"/>
  </bookViews>
  <sheets>
    <sheet name="Data" sheetId="1" r:id="rId1"/>
    <sheet name="Sheet2" sheetId="3" r:id="rId2"/>
    <sheet name="Dashboard1" sheetId="4" r:id="rId3"/>
    <sheet name="Calc" sheetId="6" r:id="rId4"/>
    <sheet name="Dashboard2" sheetId="7" r:id="rId5"/>
  </sheets>
  <definedNames>
    <definedName name="Slicer_Product_Category">#N/A</definedName>
    <definedName name="Slicer_Region">#N/A</definedName>
    <definedName name="Slicer_Segment">#N/A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7" l="1"/>
  <c r="B4" i="7"/>
  <c r="B5" i="7"/>
  <c r="B6" i="7"/>
  <c r="B1" i="6"/>
  <c r="D17" i="6"/>
  <c r="D18" i="6"/>
  <c r="D19" i="6"/>
  <c r="D20" i="6"/>
  <c r="D16" i="6"/>
  <c r="E20" i="6"/>
  <c r="E19" i="6"/>
  <c r="E18" i="6"/>
  <c r="E17" i="6"/>
  <c r="E16" i="6"/>
  <c r="B17" i="6"/>
  <c r="B18" i="6"/>
  <c r="B19" i="6"/>
  <c r="B16" i="6"/>
  <c r="E10" i="6"/>
  <c r="E11" i="6"/>
  <c r="E9" i="6"/>
  <c r="B10" i="6"/>
  <c r="B11" i="6"/>
  <c r="B12" i="6"/>
  <c r="B9" i="6"/>
  <c r="B4" i="6"/>
  <c r="B3" i="6"/>
  <c r="B2" i="6"/>
  <c r="B6" i="4"/>
  <c r="B5" i="4"/>
  <c r="B4" i="4"/>
  <c r="B3" i="4"/>
  <c r="N4" i="1"/>
  <c r="N5" i="1"/>
  <c r="N6" i="1"/>
  <c r="N7" i="1"/>
  <c r="N8" i="1"/>
  <c r="N9" i="1"/>
  <c r="N10" i="1"/>
  <c r="N11" i="1"/>
  <c r="N12" i="1"/>
  <c r="N13" i="1"/>
  <c r="N14" i="1"/>
  <c r="N15" i="1"/>
  <c r="N16" i="1"/>
  <c r="N17" i="1"/>
  <c r="N18" i="1"/>
  <c r="N19" i="1"/>
  <c r="N20" i="1"/>
  <c r="N21" i="1"/>
  <c r="N22" i="1"/>
  <c r="N23" i="1"/>
  <c r="N24" i="1"/>
  <c r="N25" i="1"/>
  <c r="N26" i="1"/>
  <c r="N27" i="1"/>
  <c r="N28" i="1"/>
  <c r="N29" i="1"/>
  <c r="N30" i="1"/>
  <c r="N31" i="1"/>
  <c r="N2" i="1"/>
  <c r="N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alcChain>
</file>

<file path=xl/sharedStrings.xml><?xml version="1.0" encoding="utf-8"?>
<sst xmlns="http://schemas.openxmlformats.org/spreadsheetml/2006/main" count="302" uniqueCount="165">
  <si>
    <t>Order ID</t>
  </si>
  <si>
    <t>Order Date</t>
  </si>
  <si>
    <t>Customer Name</t>
  </si>
  <si>
    <t>Region</t>
  </si>
  <si>
    <t>Segment</t>
  </si>
  <si>
    <t>Product Category</t>
  </si>
  <si>
    <t>Product Name</t>
  </si>
  <si>
    <t>Quantity</t>
  </si>
  <si>
    <t>Unit Price</t>
  </si>
  <si>
    <t>Discount</t>
  </si>
  <si>
    <t>Sales</t>
  </si>
  <si>
    <t>Profit</t>
  </si>
  <si>
    <t>ORD001</t>
  </si>
  <si>
    <t>2024-01-05</t>
  </si>
  <si>
    <t>Asha Kumar</t>
  </si>
  <si>
    <t>North</t>
  </si>
  <si>
    <t>Consumer</t>
  </si>
  <si>
    <t>Electronics</t>
  </si>
  <si>
    <t>Bluetooth Speaker</t>
  </si>
  <si>
    <t>ORD002</t>
  </si>
  <si>
    <t>2024-01-07</t>
  </si>
  <si>
    <t>Rohit Singh</t>
  </si>
  <si>
    <t>South</t>
  </si>
  <si>
    <t>Corporate</t>
  </si>
  <si>
    <t>Furniture</t>
  </si>
  <si>
    <t>Office Chair</t>
  </si>
  <si>
    <t>ORD003</t>
  </si>
  <si>
    <t>2024-01-10</t>
  </si>
  <si>
    <t>Meena Patel</t>
  </si>
  <si>
    <t>West</t>
  </si>
  <si>
    <t>Stationery</t>
  </si>
  <si>
    <t>A4 Paper Pack</t>
  </si>
  <si>
    <t>ORD004</t>
  </si>
  <si>
    <t>2024-01-12</t>
  </si>
  <si>
    <t>John Mathew</t>
  </si>
  <si>
    <t>East</t>
  </si>
  <si>
    <t>Home Office</t>
  </si>
  <si>
    <t>Keyboard</t>
  </si>
  <si>
    <t>ORD005</t>
  </si>
  <si>
    <t>2024-01-15</t>
  </si>
  <si>
    <t>Priya Desai</t>
  </si>
  <si>
    <t>Study Table</t>
  </si>
  <si>
    <t>ORD006</t>
  </si>
  <si>
    <t>2024-01-16</t>
  </si>
  <si>
    <t>Manish Jain</t>
  </si>
  <si>
    <t>Pen Pack</t>
  </si>
  <si>
    <t>ORD007</t>
  </si>
  <si>
    <t>2024-01-18</t>
  </si>
  <si>
    <t>Kavita Rao</t>
  </si>
  <si>
    <t>Mouse</t>
  </si>
  <si>
    <t>ORD008</t>
  </si>
  <si>
    <t>2024-01-20</t>
  </si>
  <si>
    <t>David Joseph</t>
  </si>
  <si>
    <t>Bookshelf</t>
  </si>
  <si>
    <t>ORD009</t>
  </si>
  <si>
    <t>2024-01-21</t>
  </si>
  <si>
    <t>Suraj Nair</t>
  </si>
  <si>
    <t>File Folder</t>
  </si>
  <si>
    <t>ORD010</t>
  </si>
  <si>
    <t>2024-01-24</t>
  </si>
  <si>
    <t>Neha Sharma</t>
  </si>
  <si>
    <t>Smartphone</t>
  </si>
  <si>
    <t>ORD011</t>
  </si>
  <si>
    <t>2024-01-26</t>
  </si>
  <si>
    <t>Rakesh Rao</t>
  </si>
  <si>
    <t>Meeting Table</t>
  </si>
  <si>
    <t>ORD012</t>
  </si>
  <si>
    <t>2024-01-29</t>
  </si>
  <si>
    <t>Anita Verma</t>
  </si>
  <si>
    <t>Earphones</t>
  </si>
  <si>
    <t>ORD013</t>
  </si>
  <si>
    <t>2024-02-01</t>
  </si>
  <si>
    <t>Suresh Kumar</t>
  </si>
  <si>
    <t>Sofa</t>
  </si>
  <si>
    <t>ORD014</t>
  </si>
  <si>
    <t>2024-02-03</t>
  </si>
  <si>
    <t>Rekha Sen</t>
  </si>
  <si>
    <t>Marker Set</t>
  </si>
  <si>
    <t>ORD015</t>
  </si>
  <si>
    <t>2024-02-06</t>
  </si>
  <si>
    <t>Tina Paul</t>
  </si>
  <si>
    <t>Laptop</t>
  </si>
  <si>
    <t>ORD016</t>
  </si>
  <si>
    <t>2024-02-08</t>
  </si>
  <si>
    <t>Arun Das</t>
  </si>
  <si>
    <t>Office Desk</t>
  </si>
  <si>
    <t>ORD017</t>
  </si>
  <si>
    <t>2024-02-09</t>
  </si>
  <si>
    <t>Ritu Sharma</t>
  </si>
  <si>
    <t>Power Bank</t>
  </si>
  <si>
    <t>ORD018</t>
  </si>
  <si>
    <t>2024-02-12</t>
  </si>
  <si>
    <t>Joseph King</t>
  </si>
  <si>
    <t>Stapler</t>
  </si>
  <si>
    <t>ORD019</t>
  </si>
  <si>
    <t>2024-02-13</t>
  </si>
  <si>
    <t>Manju Gupta</t>
  </si>
  <si>
    <t>TV Stand</t>
  </si>
  <si>
    <t>ORD020</t>
  </si>
  <si>
    <t>2024-02-15</t>
  </si>
  <si>
    <t>Ishaan Singh</t>
  </si>
  <si>
    <t>Printer</t>
  </si>
  <si>
    <t>ORD021</t>
  </si>
  <si>
    <t>2024-02-16</t>
  </si>
  <si>
    <t>Aarti Nair</t>
  </si>
  <si>
    <t>Notebook</t>
  </si>
  <si>
    <t>ORD022</t>
  </si>
  <si>
    <t>2024-02-18</t>
  </si>
  <si>
    <t>Rahul Mehta</t>
  </si>
  <si>
    <t>Monitor</t>
  </si>
  <si>
    <t>ORD023</t>
  </si>
  <si>
    <t>2024-02-20</t>
  </si>
  <si>
    <t>Sneha Kapoor</t>
  </si>
  <si>
    <t>Dining Chair</t>
  </si>
  <si>
    <t>ORD024</t>
  </si>
  <si>
    <t>2024-02-22</t>
  </si>
  <si>
    <t>Deepak Shetty</t>
  </si>
  <si>
    <t>Glue Stick</t>
  </si>
  <si>
    <t>ORD025</t>
  </si>
  <si>
    <t>2024-02-25</t>
  </si>
  <si>
    <t>Anjali Rao</t>
  </si>
  <si>
    <t>Tablet</t>
  </si>
  <si>
    <t>ORD026</t>
  </si>
  <si>
    <t>2024-02-27</t>
  </si>
  <si>
    <t>Salman Ali</t>
  </si>
  <si>
    <t>Work Chair</t>
  </si>
  <si>
    <t>ORD027</t>
  </si>
  <si>
    <t>2024-03-01</t>
  </si>
  <si>
    <t>Farah Khan</t>
  </si>
  <si>
    <t>Highlighter Set</t>
  </si>
  <si>
    <t>ORD028</t>
  </si>
  <si>
    <t>2024-03-03</t>
  </si>
  <si>
    <t>Roshan Yadav</t>
  </si>
  <si>
    <t>Scanner</t>
  </si>
  <si>
    <t>ORD029</t>
  </si>
  <si>
    <t>2024-03-05</t>
  </si>
  <si>
    <t>Virat Patil</t>
  </si>
  <si>
    <t>Recliner</t>
  </si>
  <si>
    <t>ORD030</t>
  </si>
  <si>
    <t>2024-03-06</t>
  </si>
  <si>
    <t>Nishi Shah</t>
  </si>
  <si>
    <t>Webcam</t>
  </si>
  <si>
    <t>order month</t>
  </si>
  <si>
    <t>profit margin</t>
  </si>
  <si>
    <t>Row Labels</t>
  </si>
  <si>
    <t>Grand Total</t>
  </si>
  <si>
    <t>Sum of Sales</t>
  </si>
  <si>
    <t>Sum of Profit</t>
  </si>
  <si>
    <t>Feb-2024</t>
  </si>
  <si>
    <t>Jan-2024</t>
  </si>
  <si>
    <t>Mar-2024</t>
  </si>
  <si>
    <t>Total Sales</t>
  </si>
  <si>
    <t>Total Profit</t>
  </si>
  <si>
    <t>Avg Profit Margin</t>
  </si>
  <si>
    <t xml:space="preserve">No of Orders </t>
  </si>
  <si>
    <t>Column1</t>
  </si>
  <si>
    <t>Column2</t>
  </si>
  <si>
    <t>KPI SUMMARY</t>
  </si>
  <si>
    <t>No of Orders</t>
  </si>
  <si>
    <t>Category</t>
  </si>
  <si>
    <t>Month</t>
  </si>
  <si>
    <t>Product</t>
  </si>
  <si>
    <t xml:space="preserve">Electronics </t>
  </si>
  <si>
    <t>Stationary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</si>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</sst>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 [$₹-4009]\ * #,##0.00_ ;_ [$₹-4009]\ * \-#,##0.00_ ;_ [$₹-4009]\ * &quot;-&quot;??_ ;_ @_ "/>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b/>
      <sz val="13.5"/>
      <color theme="1"/>
      <name val="Calibri"/>
      <family val="2"/>
      <scheme val="minor"/>
    </font>
    <font>
      <b/>
      <sz val="20"/>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applyAlignment="1">
      <alignment vertical="center"/>
    </xf>
    <xf numFmtId="0" fontId="0" fillId="0" borderId="0" xfId="0" applyFont="1" applyAlignment="1">
      <alignment vertical="center"/>
    </xf>
    <xf numFmtId="17" fontId="0" fillId="0" borderId="0" xfId="0" applyNumberFormat="1"/>
    <xf numFmtId="0" fontId="2" fillId="0" borderId="0" xfId="0" applyFont="1"/>
    <xf numFmtId="0" fontId="5" fillId="0" borderId="0" xfId="0" applyFont="1"/>
    <xf numFmtId="0" fontId="0" fillId="2" borderId="1" xfId="0" applyFont="1" applyFill="1" applyBorder="1" applyAlignment="1">
      <alignment vertical="center"/>
    </xf>
    <xf numFmtId="0" fontId="0" fillId="2" borderId="1" xfId="0" applyFill="1" applyBorder="1"/>
    <xf numFmtId="0" fontId="6" fillId="2" borderId="1" xfId="0" applyFont="1" applyFill="1" applyBorder="1" applyAlignment="1">
      <alignment horizontal="center"/>
    </xf>
    <xf numFmtId="168" fontId="6" fillId="2" borderId="1" xfId="0" applyNumberFormat="1" applyFont="1" applyFill="1" applyBorder="1" applyAlignment="1">
      <alignment horizontal="center"/>
    </xf>
    <xf numFmtId="9" fontId="6" fillId="2" borderId="1" xfId="1"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Sheet2!$D$17:$D$20</c:f>
              <c:strCache>
                <c:ptCount val="3"/>
                <c:pt idx="0">
                  <c:v>Feb-2024</c:v>
                </c:pt>
                <c:pt idx="1">
                  <c:v>Jan-2024</c:v>
                </c:pt>
                <c:pt idx="2">
                  <c:v>Mar-2024</c:v>
                </c:pt>
              </c:strCache>
            </c:strRef>
          </c:cat>
          <c:val>
            <c:numRef>
              <c:f>Sheet2!$E$17:$E$20</c:f>
              <c:numCache>
                <c:formatCode>General</c:formatCode>
                <c:ptCount val="3"/>
                <c:pt idx="0">
                  <c:v>132795</c:v>
                </c:pt>
                <c:pt idx="1">
                  <c:v>67190</c:v>
                </c:pt>
                <c:pt idx="2">
                  <c:v>29450</c:v>
                </c:pt>
              </c:numCache>
            </c:numRef>
          </c:val>
          <c:smooth val="0"/>
          <c:extLst>
            <c:ext xmlns:c16="http://schemas.microsoft.com/office/drawing/2014/chart" uri="{C3380CC4-5D6E-409C-BE32-E72D297353CC}">
              <c16:uniqueId val="{00000000-D83F-4765-BD17-1B453E314070}"/>
            </c:ext>
          </c:extLst>
        </c:ser>
        <c:dLbls>
          <c:showLegendKey val="0"/>
          <c:showVal val="0"/>
          <c:showCatName val="0"/>
          <c:showSerName val="0"/>
          <c:showPercent val="0"/>
          <c:showBubbleSize val="0"/>
        </c:dLbls>
        <c:marker val="1"/>
        <c:smooth val="0"/>
        <c:axId val="1651215200"/>
        <c:axId val="1651232000"/>
      </c:lineChart>
      <c:catAx>
        <c:axId val="16512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32000"/>
        <c:crosses val="autoZero"/>
        <c:auto val="1"/>
        <c:lblAlgn val="ctr"/>
        <c:lblOffset val="100"/>
        <c:noMultiLvlLbl val="0"/>
      </c:catAx>
      <c:valAx>
        <c:axId val="165123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1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100650</c:v>
                </c:pt>
                <c:pt idx="1">
                  <c:v>37915</c:v>
                </c:pt>
                <c:pt idx="2">
                  <c:v>37270</c:v>
                </c:pt>
                <c:pt idx="3">
                  <c:v>53600</c:v>
                </c:pt>
              </c:numCache>
            </c:numRef>
          </c:val>
          <c:extLst>
            <c:ext xmlns:c16="http://schemas.microsoft.com/office/drawing/2014/chart" uri="{C3380CC4-5D6E-409C-BE32-E72D297353CC}">
              <c16:uniqueId val="{00000000-CD63-4DCB-836F-DD4DCB169EE1}"/>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15200</c:v>
                </c:pt>
                <c:pt idx="1">
                  <c:v>5470</c:v>
                </c:pt>
                <c:pt idx="2">
                  <c:v>4650</c:v>
                </c:pt>
                <c:pt idx="3">
                  <c:v>9800</c:v>
                </c:pt>
              </c:numCache>
            </c:numRef>
          </c:val>
          <c:extLst>
            <c:ext xmlns:c16="http://schemas.microsoft.com/office/drawing/2014/chart" uri="{C3380CC4-5D6E-409C-BE32-E72D297353CC}">
              <c16:uniqueId val="{00000001-CD63-4DCB-836F-DD4DCB169EE1}"/>
            </c:ext>
          </c:extLst>
        </c:ser>
        <c:dLbls>
          <c:showLegendKey val="0"/>
          <c:showVal val="0"/>
          <c:showCatName val="0"/>
          <c:showSerName val="0"/>
          <c:showPercent val="0"/>
          <c:showBubbleSize val="0"/>
        </c:dLbls>
        <c:gapWidth val="182"/>
        <c:axId val="1651256000"/>
        <c:axId val="1651251200"/>
      </c:barChart>
      <c:catAx>
        <c:axId val="165125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1200"/>
        <c:crosses val="autoZero"/>
        <c:auto val="1"/>
        <c:lblAlgn val="ctr"/>
        <c:lblOffset val="100"/>
        <c:noMultiLvlLbl val="0"/>
      </c:catAx>
      <c:valAx>
        <c:axId val="165125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Sheet2!$H$4</c:f>
              <c:strCache>
                <c:ptCount val="1"/>
                <c:pt idx="0">
                  <c:v>Total</c:v>
                </c:pt>
              </c:strCache>
            </c:strRef>
          </c:tx>
          <c:spPr>
            <a:solidFill>
              <a:schemeClr val="accent1"/>
            </a:solidFill>
            <a:ln>
              <a:noFill/>
            </a:ln>
            <a:effectLst/>
          </c:spPr>
          <c:invertIfNegative val="0"/>
          <c:cat>
            <c:strRef>
              <c:f>Sheet2!$G$5:$G$35</c:f>
              <c:strCache>
                <c:ptCount val="30"/>
                <c:pt idx="0">
                  <c:v>A4 Paper Pack</c:v>
                </c:pt>
                <c:pt idx="1">
                  <c:v>Bluetooth Speaker</c:v>
                </c:pt>
                <c:pt idx="2">
                  <c:v>Bookshelf</c:v>
                </c:pt>
                <c:pt idx="3">
                  <c:v>Dining Chair</c:v>
                </c:pt>
                <c:pt idx="4">
                  <c:v>Earphones</c:v>
                </c:pt>
                <c:pt idx="5">
                  <c:v>File Folder</c:v>
                </c:pt>
                <c:pt idx="6">
                  <c:v>Glue Stick</c:v>
                </c:pt>
                <c:pt idx="7">
                  <c:v>Highlighter Set</c:v>
                </c:pt>
                <c:pt idx="8">
                  <c:v>Keyboard</c:v>
                </c:pt>
                <c:pt idx="9">
                  <c:v>Laptop</c:v>
                </c:pt>
                <c:pt idx="10">
                  <c:v>Marker Set</c:v>
                </c:pt>
                <c:pt idx="11">
                  <c:v>Meeting Table</c:v>
                </c:pt>
                <c:pt idx="12">
                  <c:v>Monitor</c:v>
                </c:pt>
                <c:pt idx="13">
                  <c:v>Mouse</c:v>
                </c:pt>
                <c:pt idx="14">
                  <c:v>Notebook</c:v>
                </c:pt>
                <c:pt idx="15">
                  <c:v>Office Chair</c:v>
                </c:pt>
                <c:pt idx="16">
                  <c:v>Office Desk</c:v>
                </c:pt>
                <c:pt idx="17">
                  <c:v>Pen Pack</c:v>
                </c:pt>
                <c:pt idx="18">
                  <c:v>Power Bank</c:v>
                </c:pt>
                <c:pt idx="19">
                  <c:v>Printer</c:v>
                </c:pt>
                <c:pt idx="20">
                  <c:v>Recliner</c:v>
                </c:pt>
                <c:pt idx="21">
                  <c:v>Scanner</c:v>
                </c:pt>
                <c:pt idx="22">
                  <c:v>Smartphone</c:v>
                </c:pt>
                <c:pt idx="23">
                  <c:v>Sofa</c:v>
                </c:pt>
                <c:pt idx="24">
                  <c:v>Stapler</c:v>
                </c:pt>
                <c:pt idx="25">
                  <c:v>Study Table</c:v>
                </c:pt>
                <c:pt idx="26">
                  <c:v>Tablet</c:v>
                </c:pt>
                <c:pt idx="27">
                  <c:v>TV Stand</c:v>
                </c:pt>
                <c:pt idx="28">
                  <c:v>Webcam</c:v>
                </c:pt>
                <c:pt idx="29">
                  <c:v>Work Chair</c:v>
                </c:pt>
              </c:strCache>
            </c:strRef>
          </c:cat>
          <c:val>
            <c:numRef>
              <c:f>Sheet2!$H$5:$H$35</c:f>
              <c:numCache>
                <c:formatCode>General</c:formatCode>
                <c:ptCount val="30"/>
                <c:pt idx="0">
                  <c:v>1500</c:v>
                </c:pt>
                <c:pt idx="1">
                  <c:v>4500</c:v>
                </c:pt>
                <c:pt idx="2">
                  <c:v>7200</c:v>
                </c:pt>
                <c:pt idx="3">
                  <c:v>5700</c:v>
                </c:pt>
                <c:pt idx="4">
                  <c:v>2400</c:v>
                </c:pt>
                <c:pt idx="5">
                  <c:v>960</c:v>
                </c:pt>
                <c:pt idx="6">
                  <c:v>750</c:v>
                </c:pt>
                <c:pt idx="7">
                  <c:v>720</c:v>
                </c:pt>
                <c:pt idx="8">
                  <c:v>3600</c:v>
                </c:pt>
                <c:pt idx="9">
                  <c:v>49500</c:v>
                </c:pt>
                <c:pt idx="10">
                  <c:v>1600</c:v>
                </c:pt>
                <c:pt idx="11">
                  <c:v>13500</c:v>
                </c:pt>
                <c:pt idx="12">
                  <c:v>12600</c:v>
                </c:pt>
                <c:pt idx="13">
                  <c:v>2280</c:v>
                </c:pt>
                <c:pt idx="14">
                  <c:v>720</c:v>
                </c:pt>
                <c:pt idx="15">
                  <c:v>6650</c:v>
                </c:pt>
                <c:pt idx="16">
                  <c:v>8550</c:v>
                </c:pt>
                <c:pt idx="17">
                  <c:v>1500</c:v>
                </c:pt>
                <c:pt idx="18">
                  <c:v>2400</c:v>
                </c:pt>
                <c:pt idx="19">
                  <c:v>8075</c:v>
                </c:pt>
                <c:pt idx="20">
                  <c:v>17600</c:v>
                </c:pt>
                <c:pt idx="21">
                  <c:v>8280</c:v>
                </c:pt>
                <c:pt idx="22">
                  <c:v>18700</c:v>
                </c:pt>
                <c:pt idx="23">
                  <c:v>14400</c:v>
                </c:pt>
                <c:pt idx="24">
                  <c:v>900</c:v>
                </c:pt>
                <c:pt idx="25">
                  <c:v>4400</c:v>
                </c:pt>
                <c:pt idx="26">
                  <c:v>16200</c:v>
                </c:pt>
                <c:pt idx="27">
                  <c:v>5100</c:v>
                </c:pt>
                <c:pt idx="28">
                  <c:v>2850</c:v>
                </c:pt>
                <c:pt idx="29">
                  <c:v>6300</c:v>
                </c:pt>
              </c:numCache>
            </c:numRef>
          </c:val>
          <c:extLst>
            <c:ext xmlns:c16="http://schemas.microsoft.com/office/drawing/2014/chart" uri="{C3380CC4-5D6E-409C-BE32-E72D297353CC}">
              <c16:uniqueId val="{00000000-CEA9-42C3-8AEC-FDBAB0F03569}"/>
            </c:ext>
          </c:extLst>
        </c:ser>
        <c:dLbls>
          <c:showLegendKey val="0"/>
          <c:showVal val="0"/>
          <c:showCatName val="0"/>
          <c:showSerName val="0"/>
          <c:showPercent val="0"/>
          <c:showBubbleSize val="0"/>
        </c:dLbls>
        <c:gapWidth val="219"/>
        <c:overlap val="-27"/>
        <c:axId val="1651256480"/>
        <c:axId val="1651257920"/>
      </c:barChart>
      <c:catAx>
        <c:axId val="16512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7920"/>
        <c:crosses val="autoZero"/>
        <c:auto val="1"/>
        <c:lblAlgn val="ctr"/>
        <c:lblOffset val="100"/>
        <c:noMultiLvlLbl val="0"/>
      </c:catAx>
      <c:valAx>
        <c:axId val="16512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Calc!$B$8</c:f>
              <c:strCache>
                <c:ptCount val="1"/>
                <c:pt idx="0">
                  <c:v>Sales</c:v>
                </c:pt>
              </c:strCache>
            </c:strRef>
          </c:tx>
          <c:spPr>
            <a:solidFill>
              <a:schemeClr val="accent1"/>
            </a:solidFill>
            <a:ln>
              <a:noFill/>
            </a:ln>
            <a:effectLst/>
          </c:spPr>
          <c:invertIfNegative val="0"/>
          <c:cat>
            <c:strRef>
              <c:f>Calc!$A$9:$A$12</c:f>
              <c:strCache>
                <c:ptCount val="4"/>
                <c:pt idx="0">
                  <c:v>East</c:v>
                </c:pt>
                <c:pt idx="1">
                  <c:v>West</c:v>
                </c:pt>
                <c:pt idx="2">
                  <c:v>North</c:v>
                </c:pt>
                <c:pt idx="3">
                  <c:v>South</c:v>
                </c:pt>
              </c:strCache>
            </c:strRef>
          </c:cat>
          <c:val>
            <c:numRef>
              <c:f>Calc!$B$9:$B$12</c:f>
              <c:numCache>
                <c:formatCode>General</c:formatCode>
                <c:ptCount val="4"/>
                <c:pt idx="0">
                  <c:v>100650</c:v>
                </c:pt>
                <c:pt idx="1">
                  <c:v>53600</c:v>
                </c:pt>
                <c:pt idx="2">
                  <c:v>37915</c:v>
                </c:pt>
                <c:pt idx="3">
                  <c:v>37270</c:v>
                </c:pt>
              </c:numCache>
            </c:numRef>
          </c:val>
          <c:extLst>
            <c:ext xmlns:c16="http://schemas.microsoft.com/office/drawing/2014/chart" uri="{C3380CC4-5D6E-409C-BE32-E72D297353CC}">
              <c16:uniqueId val="{00000000-4385-4642-8CA0-C338FB134C90}"/>
            </c:ext>
          </c:extLst>
        </c:ser>
        <c:dLbls>
          <c:showLegendKey val="0"/>
          <c:showVal val="0"/>
          <c:showCatName val="0"/>
          <c:showSerName val="0"/>
          <c:showPercent val="0"/>
          <c:showBubbleSize val="0"/>
        </c:dLbls>
        <c:gapWidth val="219"/>
        <c:overlap val="-27"/>
        <c:axId val="1651264640"/>
        <c:axId val="1651265600"/>
      </c:barChart>
      <c:catAx>
        <c:axId val="16512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65600"/>
        <c:crosses val="autoZero"/>
        <c:auto val="1"/>
        <c:lblAlgn val="ctr"/>
        <c:lblOffset val="100"/>
        <c:noMultiLvlLbl val="0"/>
      </c:catAx>
      <c:valAx>
        <c:axId val="165126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6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Calc!$E$8</c:f>
              <c:strCache>
                <c:ptCount val="1"/>
                <c:pt idx="0">
                  <c:v>Sales</c:v>
                </c:pt>
              </c:strCache>
            </c:strRef>
          </c:tx>
          <c:spPr>
            <a:solidFill>
              <a:schemeClr val="accent1"/>
            </a:solidFill>
            <a:ln>
              <a:noFill/>
            </a:ln>
            <a:effectLst/>
          </c:spPr>
          <c:invertIfNegative val="0"/>
          <c:cat>
            <c:strRef>
              <c:f>Calc!$D$9:$D$11</c:f>
              <c:strCache>
                <c:ptCount val="3"/>
                <c:pt idx="0">
                  <c:v>Electronics </c:v>
                </c:pt>
                <c:pt idx="1">
                  <c:v>Furniture</c:v>
                </c:pt>
                <c:pt idx="2">
                  <c:v>Stationary</c:v>
                </c:pt>
              </c:strCache>
            </c:strRef>
          </c:cat>
          <c:val>
            <c:numRef>
              <c:f>Calc!$E$9:$E$11</c:f>
              <c:numCache>
                <c:formatCode>General</c:formatCode>
                <c:ptCount val="3"/>
                <c:pt idx="0">
                  <c:v>0</c:v>
                </c:pt>
                <c:pt idx="1">
                  <c:v>89400</c:v>
                </c:pt>
                <c:pt idx="2">
                  <c:v>0</c:v>
                </c:pt>
              </c:numCache>
            </c:numRef>
          </c:val>
          <c:extLst>
            <c:ext xmlns:c16="http://schemas.microsoft.com/office/drawing/2014/chart" uri="{C3380CC4-5D6E-409C-BE32-E72D297353CC}">
              <c16:uniqueId val="{00000000-4B39-49B9-8B68-A7E314B42BE7}"/>
            </c:ext>
          </c:extLst>
        </c:ser>
        <c:dLbls>
          <c:showLegendKey val="0"/>
          <c:showVal val="0"/>
          <c:showCatName val="0"/>
          <c:showSerName val="0"/>
          <c:showPercent val="0"/>
          <c:showBubbleSize val="0"/>
        </c:dLbls>
        <c:gapWidth val="182"/>
        <c:axId val="1670713488"/>
        <c:axId val="1670714448"/>
      </c:barChart>
      <c:catAx>
        <c:axId val="167071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14448"/>
        <c:crosses val="autoZero"/>
        <c:auto val="1"/>
        <c:lblAlgn val="ctr"/>
        <c:lblOffset val="100"/>
        <c:noMultiLvlLbl val="0"/>
      </c:catAx>
      <c:valAx>
        <c:axId val="167071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1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Calc!$B$15</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Calc!$A$16:$A$19</c:f>
              <c:numCache>
                <c:formatCode>mmm\-yy</c:formatCode>
                <c:ptCount val="4"/>
                <c:pt idx="0">
                  <c:v>45292</c:v>
                </c:pt>
                <c:pt idx="1">
                  <c:v>45323</c:v>
                </c:pt>
                <c:pt idx="2">
                  <c:v>45352</c:v>
                </c:pt>
                <c:pt idx="3">
                  <c:v>45383</c:v>
                </c:pt>
              </c:numCache>
            </c:numRef>
          </c:cat>
          <c:val>
            <c:numRef>
              <c:f>Calc!$B$16:$B$19</c:f>
              <c:numCache>
                <c:formatCode>General</c:formatCode>
                <c:ptCount val="4"/>
                <c:pt idx="0">
                  <c:v>67190</c:v>
                </c:pt>
                <c:pt idx="1">
                  <c:v>132795</c:v>
                </c:pt>
                <c:pt idx="2">
                  <c:v>29450</c:v>
                </c:pt>
                <c:pt idx="3">
                  <c:v>0</c:v>
                </c:pt>
              </c:numCache>
            </c:numRef>
          </c:val>
          <c:smooth val="0"/>
          <c:extLst>
            <c:ext xmlns:c16="http://schemas.microsoft.com/office/drawing/2014/chart" uri="{C3380CC4-5D6E-409C-BE32-E72D297353CC}">
              <c16:uniqueId val="{00000000-CE2A-482B-AB05-EA95C3FDF53B}"/>
            </c:ext>
          </c:extLst>
        </c:ser>
        <c:dLbls>
          <c:showLegendKey val="0"/>
          <c:showVal val="0"/>
          <c:showCatName val="0"/>
          <c:showSerName val="0"/>
          <c:showPercent val="0"/>
          <c:showBubbleSize val="0"/>
        </c:dLbls>
        <c:marker val="1"/>
        <c:smooth val="0"/>
        <c:axId val="1651261760"/>
        <c:axId val="1651262240"/>
      </c:lineChart>
      <c:dateAx>
        <c:axId val="16512617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62240"/>
        <c:crosses val="autoZero"/>
        <c:auto val="1"/>
        <c:lblOffset val="100"/>
        <c:baseTimeUnit val="months"/>
      </c:dateAx>
      <c:valAx>
        <c:axId val="165126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6176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Calc!$E$15</c:f>
              <c:strCache>
                <c:ptCount val="1"/>
                <c:pt idx="0">
                  <c:v>Sales</c:v>
                </c:pt>
              </c:strCache>
            </c:strRef>
          </c:tx>
          <c:spPr>
            <a:solidFill>
              <a:schemeClr val="accent1"/>
            </a:solidFill>
            <a:ln>
              <a:noFill/>
            </a:ln>
            <a:effectLst/>
          </c:spPr>
          <c:invertIfNegative val="0"/>
          <c:cat>
            <c:strRef>
              <c:f>Calc!$D$16:$D$20</c:f>
              <c:strCache>
                <c:ptCount val="5"/>
                <c:pt idx="0">
                  <c:v>Laptop</c:v>
                </c:pt>
                <c:pt idx="1">
                  <c:v>Smartphone</c:v>
                </c:pt>
                <c:pt idx="2">
                  <c:v>Recliner</c:v>
                </c:pt>
                <c:pt idx="3">
                  <c:v>Tablet</c:v>
                </c:pt>
                <c:pt idx="4">
                  <c:v>Sofa</c:v>
                </c:pt>
              </c:strCache>
            </c:strRef>
          </c:cat>
          <c:val>
            <c:numRef>
              <c:f>Calc!$E$16:$E$20</c:f>
              <c:numCache>
                <c:formatCode>General</c:formatCode>
                <c:ptCount val="5"/>
                <c:pt idx="0">
                  <c:v>49500</c:v>
                </c:pt>
                <c:pt idx="1">
                  <c:v>18700</c:v>
                </c:pt>
                <c:pt idx="2">
                  <c:v>17600</c:v>
                </c:pt>
                <c:pt idx="3">
                  <c:v>16200</c:v>
                </c:pt>
                <c:pt idx="4">
                  <c:v>14400</c:v>
                </c:pt>
              </c:numCache>
            </c:numRef>
          </c:val>
          <c:extLst>
            <c:ext xmlns:c16="http://schemas.microsoft.com/office/drawing/2014/chart" uri="{C3380CC4-5D6E-409C-BE32-E72D297353CC}">
              <c16:uniqueId val="{00000000-2580-4937-BDF6-48B1130BE6B5}"/>
            </c:ext>
          </c:extLst>
        </c:ser>
        <c:dLbls>
          <c:showLegendKey val="0"/>
          <c:showVal val="0"/>
          <c:showCatName val="0"/>
          <c:showSerName val="0"/>
          <c:showPercent val="0"/>
          <c:showBubbleSize val="0"/>
        </c:dLbls>
        <c:gapWidth val="219"/>
        <c:overlap val="-27"/>
        <c:axId val="1648430400"/>
        <c:axId val="1674863904"/>
      </c:barChart>
      <c:catAx>
        <c:axId val="16484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63904"/>
        <c:crosses val="autoZero"/>
        <c:auto val="1"/>
        <c:lblAlgn val="ctr"/>
        <c:lblOffset val="100"/>
        <c:noMultiLvlLbl val="0"/>
      </c:catAx>
      <c:valAx>
        <c:axId val="167486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3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470535</xdr:colOff>
      <xdr:row>16</xdr:row>
      <xdr:rowOff>108585</xdr:rowOff>
    </xdr:from>
    <xdr:to>
      <xdr:col>24</xdr:col>
      <xdr:colOff>165735</xdr:colOff>
      <xdr:row>31</xdr:row>
      <xdr:rowOff>108585</xdr:rowOff>
    </xdr:to>
    <xdr:graphicFrame macro="">
      <xdr:nvGraphicFramePr>
        <xdr:cNvPr id="3" name="Chart 4">
          <a:extLst>
            <a:ext uri="{FF2B5EF4-FFF2-40B4-BE49-F238E27FC236}">
              <a16:creationId xmlns:a16="http://schemas.microsoft.com/office/drawing/2014/main" id="{D3539C4C-5BD9-B541-041B-10FEA44C9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487680</xdr:colOff>
      <xdr:row>17</xdr:row>
      <xdr:rowOff>9525</xdr:rowOff>
    </xdr:from>
    <xdr:to>
      <xdr:col>16</xdr:col>
      <xdr:colOff>182880</xdr:colOff>
      <xdr:row>32</xdr:row>
      <xdr:rowOff>9525</xdr:rowOff>
    </xdr:to>
    <xdr:graphicFrame macro="">
      <xdr:nvGraphicFramePr>
        <xdr:cNvPr id="4" name="Chart 5">
          <a:extLst>
            <a:ext uri="{FF2B5EF4-FFF2-40B4-BE49-F238E27FC236}">
              <a16:creationId xmlns:a16="http://schemas.microsoft.com/office/drawing/2014/main" id="{790E8AA3-A8B1-FB39-2095-904B0EE2D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529590</xdr:colOff>
      <xdr:row>0</xdr:row>
      <xdr:rowOff>171450</xdr:rowOff>
    </xdr:from>
    <xdr:to>
      <xdr:col>15</xdr:col>
      <xdr:colOff>224790</xdr:colOff>
      <xdr:row>15</xdr:row>
      <xdr:rowOff>171450</xdr:rowOff>
    </xdr:to>
    <xdr:graphicFrame macro="">
      <xdr:nvGraphicFramePr>
        <xdr:cNvPr id="5" name="Chart 6">
          <a:extLst>
            <a:ext uri="{FF2B5EF4-FFF2-40B4-BE49-F238E27FC236}">
              <a16:creationId xmlns:a16="http://schemas.microsoft.com/office/drawing/2014/main" id="{2E8E4137-B5B3-44B1-EF74-B3A5A7346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342900</xdr:colOff>
      <xdr:row>11</xdr:row>
      <xdr:rowOff>106680</xdr:rowOff>
    </xdr:from>
    <xdr:to>
      <xdr:col>1</xdr:col>
      <xdr:colOff>1135380</xdr:colOff>
      <xdr:row>25</xdr:row>
      <xdr:rowOff>13335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229FD17-CB5B-4FBD-8274-85545F4D5B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2900" y="2097405"/>
              <a:ext cx="1830705" cy="244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1272540</xdr:colOff>
      <xdr:row>11</xdr:row>
      <xdr:rowOff>144780</xdr:rowOff>
    </xdr:from>
    <xdr:to>
      <xdr:col>4</xdr:col>
      <xdr:colOff>22860</xdr:colOff>
      <xdr:row>25</xdr:row>
      <xdr:rowOff>51435</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B75292E7-403B-4526-9260-FB22AE54F10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10765" y="2135505"/>
              <a:ext cx="1826895" cy="244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403860</xdr:colOff>
      <xdr:row>11</xdr:row>
      <xdr:rowOff>129540</xdr:rowOff>
    </xdr:from>
    <xdr:to>
      <xdr:col>7</xdr:col>
      <xdr:colOff>403860</xdr:colOff>
      <xdr:row>25</xdr:row>
      <xdr:rowOff>36195</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F8A23139-CB61-451F-96B0-B6F978A28B3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518660" y="2120265"/>
              <a:ext cx="1828800" cy="244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19792</xdr:colOff>
      <xdr:row>11</xdr:row>
      <xdr:rowOff>169174</xdr:rowOff>
    </xdr:from>
    <xdr:to>
      <xdr:col>4</xdr:col>
      <xdr:colOff>160910</xdr:colOff>
      <xdr:row>27</xdr:row>
      <xdr:rowOff>153934</xdr:rowOff>
    </xdr:to>
    <xdr:graphicFrame macro="">
      <xdr:nvGraphicFramePr>
        <xdr:cNvPr id="2" name="Chart 1">
          <a:extLst>
            <a:ext uri="{FF2B5EF4-FFF2-40B4-BE49-F238E27FC236}">
              <a16:creationId xmlns:a16="http://schemas.microsoft.com/office/drawing/2014/main" id="{9B3CD4A6-9AF5-A152-86E7-AD35F7328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341613</xdr:colOff>
      <xdr:row>15</xdr:row>
      <xdr:rowOff>13806</xdr:rowOff>
    </xdr:from>
    <xdr:to>
      <xdr:col>15</xdr:col>
      <xdr:colOff>204453</xdr:colOff>
      <xdr:row>30</xdr:row>
      <xdr:rowOff>13806</xdr:rowOff>
    </xdr:to>
    <xdr:graphicFrame macro="">
      <xdr:nvGraphicFramePr>
        <xdr:cNvPr id="3" name="Chart 2">
          <a:extLst>
            <a:ext uri="{FF2B5EF4-FFF2-40B4-BE49-F238E27FC236}">
              <a16:creationId xmlns:a16="http://schemas.microsoft.com/office/drawing/2014/main" id="{F4E40AA7-2C27-E9F0-D3D3-3ABE5E582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0</xdr:row>
      <xdr:rowOff>140970</xdr:rowOff>
    </xdr:from>
    <xdr:to>
      <xdr:col>12</xdr:col>
      <xdr:colOff>129540</xdr:colOff>
      <xdr:row>14</xdr:row>
      <xdr:rowOff>11430</xdr:rowOff>
    </xdr:to>
    <xdr:graphicFrame macro="">
      <xdr:nvGraphicFramePr>
        <xdr:cNvPr id="4" name="Chart 3">
          <a:extLst>
            <a:ext uri="{FF2B5EF4-FFF2-40B4-BE49-F238E27FC236}">
              <a16:creationId xmlns:a16="http://schemas.microsoft.com/office/drawing/2014/main" id="{706A45FD-E311-C13C-962B-1B108A5D9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443245</xdr:colOff>
      <xdr:row>3</xdr:row>
      <xdr:rowOff>132459</xdr:rowOff>
    </xdr:from>
    <xdr:to>
      <xdr:col>23</xdr:col>
      <xdr:colOff>119247</xdr:colOff>
      <xdr:row>17</xdr:row>
      <xdr:rowOff>43394</xdr:rowOff>
    </xdr:to>
    <xdr:graphicFrame macro="">
      <xdr:nvGraphicFramePr>
        <xdr:cNvPr id="5" name="Chart 4">
          <a:extLst>
            <a:ext uri="{FF2B5EF4-FFF2-40B4-BE49-F238E27FC236}">
              <a16:creationId xmlns:a16="http://schemas.microsoft.com/office/drawing/2014/main" id="{01F6ED1A-89B0-1DCC-B2CC-54779A879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umathi" refreshedDate="46002.809996759257" createdVersion="8" refreshedVersion="8" minRefreshableVersion="3" recordCount="30" xr:uid="{64C50875-C178-4C08-9233-87E94AAF75FF}">
  <cacheSource type="worksheet">
    <worksheetSource name="Data"/>
  </cacheSource>
  <cacheFields count="14">
    <cacheField name="Order ID" numFmtId="0">
      <sharedItems/>
    </cacheField>
    <cacheField name="Order Date" numFmtId="0">
      <sharedItems/>
    </cacheField>
    <cacheField name="Customer Name" numFmtId="0">
      <sharedItems/>
    </cacheField>
    <cacheField name="Region" numFmtId="0">
      <sharedItems count="4">
        <s v="North"/>
        <s v="South"/>
        <s v="West"/>
        <s v="East"/>
      </sharedItems>
    </cacheField>
    <cacheField name="Segment" numFmtId="0">
      <sharedItems count="3">
        <s v="Consumer"/>
        <s v="Corporate"/>
        <s v="Home Office"/>
      </sharedItems>
    </cacheField>
    <cacheField name="Product Category" numFmtId="0">
      <sharedItems count="3">
        <s v="Electronics"/>
        <s v="Furniture"/>
        <s v="Stationery"/>
      </sharedItems>
    </cacheField>
    <cacheField name="Product Name" numFmtId="0">
      <sharedItems count="30">
        <s v="Bluetooth Speaker"/>
        <s v="Office Chair"/>
        <s v="A4 Paper Pack"/>
        <s v="Keyboard"/>
        <s v="Study Table"/>
        <s v="Pen Pack"/>
        <s v="Mouse"/>
        <s v="Bookshelf"/>
        <s v="File Folder"/>
        <s v="Smartphone"/>
        <s v="Meeting Table"/>
        <s v="Earphones"/>
        <s v="Sofa"/>
        <s v="Marker Set"/>
        <s v="Laptop"/>
        <s v="Office Desk"/>
        <s v="Power Bank"/>
        <s v="Stapler"/>
        <s v="TV Stand"/>
        <s v="Printer"/>
        <s v="Notebook"/>
        <s v="Monitor"/>
        <s v="Dining Chair"/>
        <s v="Glue Stick"/>
        <s v="Tablet"/>
        <s v="Work Chair"/>
        <s v="Highlighter Set"/>
        <s v="Scanner"/>
        <s v="Recliner"/>
        <s v="Webcam"/>
      </sharedItems>
    </cacheField>
    <cacheField name="Quantity" numFmtId="0">
      <sharedItems containsSemiMixedTypes="0" containsString="0" containsNumber="1" containsInteger="1" minValue="1" maxValue="15"/>
    </cacheField>
    <cacheField name="Unit Price" numFmtId="0">
      <sharedItems containsSemiMixedTypes="0" containsString="0" containsNumber="1" containsInteger="1" minValue="50" maxValue="55000"/>
    </cacheField>
    <cacheField name="Discount" numFmtId="0">
      <sharedItems containsSemiMixedTypes="0" containsString="0" containsNumber="1" minValue="0" maxValue="0.2"/>
    </cacheField>
    <cacheField name="Sales" numFmtId="0">
      <sharedItems containsSemiMixedTypes="0" containsString="0" containsNumber="1" containsInteger="1" minValue="720" maxValue="49500"/>
    </cacheField>
    <cacheField name="Profit" numFmtId="0">
      <sharedItems containsSemiMixedTypes="0" containsString="0" containsNumber="1" containsInteger="1" minValue="100" maxValue="7000"/>
    </cacheField>
    <cacheField name="order month" numFmtId="0">
      <sharedItems count="3">
        <s v="Jan-2024"/>
        <s v="Feb-2024"/>
        <s v="Mar-2024"/>
      </sharedItems>
    </cacheField>
    <cacheField name="profit margin" numFmtId="0">
      <sharedItems containsSemiMixedTypes="0" containsString="0" containsNumber="1" minValue="0.10695187165775401" maxValue="0.20833333333333334"/>
    </cacheField>
  </cacheFields>
  <extLst>
    <ext xmlns:x14="http://schemas.microsoft.com/office/spreadsheetml/2009/9/main" uri="{725AE2AE-9491-48be-B2B4-4EB974FC3084}">
      <x14:pivotCacheDefinition pivotCacheId="1465066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001"/>
    <s v="2024-01-05"/>
    <s v="Asha Kumar"/>
    <x v="0"/>
    <x v="0"/>
    <x v="0"/>
    <x v="0"/>
    <n v="2"/>
    <n v="2500"/>
    <n v="0.1"/>
    <n v="4500"/>
    <n v="800"/>
    <x v="0"/>
    <n v="0.17777777777777778"/>
  </r>
  <r>
    <s v="ORD002"/>
    <s v="2024-01-07"/>
    <s v="Rohit Singh"/>
    <x v="1"/>
    <x v="1"/>
    <x v="1"/>
    <x v="1"/>
    <n v="1"/>
    <n v="7000"/>
    <n v="0.05"/>
    <n v="6650"/>
    <n v="1000"/>
    <x v="0"/>
    <n v="0.15037593984962405"/>
  </r>
  <r>
    <s v="ORD003"/>
    <s v="2024-01-10"/>
    <s v="Meena Patel"/>
    <x v="2"/>
    <x v="0"/>
    <x v="2"/>
    <x v="2"/>
    <n v="5"/>
    <n v="300"/>
    <n v="0"/>
    <n v="1500"/>
    <n v="200"/>
    <x v="0"/>
    <n v="0.13333333333333333"/>
  </r>
  <r>
    <s v="ORD004"/>
    <s v="2024-01-12"/>
    <s v="John Mathew"/>
    <x v="3"/>
    <x v="2"/>
    <x v="0"/>
    <x v="3"/>
    <n v="3"/>
    <n v="1200"/>
    <n v="0"/>
    <n v="3600"/>
    <n v="500"/>
    <x v="0"/>
    <n v="0.1388888888888889"/>
  </r>
  <r>
    <s v="ORD005"/>
    <s v="2024-01-15"/>
    <s v="Priya Desai"/>
    <x v="0"/>
    <x v="0"/>
    <x v="1"/>
    <x v="4"/>
    <n v="1"/>
    <n v="5500"/>
    <n v="0.2"/>
    <n v="4400"/>
    <n v="700"/>
    <x v="0"/>
    <n v="0.15909090909090909"/>
  </r>
  <r>
    <s v="ORD006"/>
    <s v="2024-01-16"/>
    <s v="Manish Jain"/>
    <x v="1"/>
    <x v="1"/>
    <x v="2"/>
    <x v="5"/>
    <n v="10"/>
    <n v="150"/>
    <n v="0"/>
    <n v="1500"/>
    <n v="250"/>
    <x v="0"/>
    <n v="0.16666666666666666"/>
  </r>
  <r>
    <s v="ORD007"/>
    <s v="2024-01-18"/>
    <s v="Kavita Rao"/>
    <x v="2"/>
    <x v="0"/>
    <x v="0"/>
    <x v="6"/>
    <n v="4"/>
    <n v="600"/>
    <n v="0.05"/>
    <n v="2280"/>
    <n v="350"/>
    <x v="0"/>
    <n v="0.15350877192982457"/>
  </r>
  <r>
    <s v="ORD008"/>
    <s v="2024-01-20"/>
    <s v="David Joseph"/>
    <x v="3"/>
    <x v="2"/>
    <x v="1"/>
    <x v="7"/>
    <n v="1"/>
    <n v="8000"/>
    <n v="0.1"/>
    <n v="7200"/>
    <n v="1200"/>
    <x v="0"/>
    <n v="0.16666666666666666"/>
  </r>
  <r>
    <s v="ORD009"/>
    <s v="2024-01-21"/>
    <s v="Suraj Nair"/>
    <x v="0"/>
    <x v="1"/>
    <x v="2"/>
    <x v="8"/>
    <n v="12"/>
    <n v="80"/>
    <n v="0"/>
    <n v="960"/>
    <n v="150"/>
    <x v="0"/>
    <n v="0.15625"/>
  </r>
  <r>
    <s v="ORD010"/>
    <s v="2024-01-24"/>
    <s v="Neha Sharma"/>
    <x v="1"/>
    <x v="0"/>
    <x v="0"/>
    <x v="9"/>
    <n v="1"/>
    <n v="22000"/>
    <n v="0.15"/>
    <n v="18700"/>
    <n v="2000"/>
    <x v="0"/>
    <n v="0.10695187165775401"/>
  </r>
  <r>
    <s v="ORD011"/>
    <s v="2024-01-26"/>
    <s v="Rakesh Rao"/>
    <x v="3"/>
    <x v="1"/>
    <x v="1"/>
    <x v="10"/>
    <n v="1"/>
    <n v="15000"/>
    <n v="0.1"/>
    <n v="13500"/>
    <n v="2500"/>
    <x v="0"/>
    <n v="0.18518518518518517"/>
  </r>
  <r>
    <s v="ORD012"/>
    <s v="2024-01-29"/>
    <s v="Anita Verma"/>
    <x v="0"/>
    <x v="2"/>
    <x v="0"/>
    <x v="11"/>
    <n v="6"/>
    <n v="400"/>
    <n v="0"/>
    <n v="2400"/>
    <n v="300"/>
    <x v="0"/>
    <n v="0.125"/>
  </r>
  <r>
    <s v="ORD013"/>
    <s v="2024-02-01"/>
    <s v="Suresh Kumar"/>
    <x v="2"/>
    <x v="0"/>
    <x v="1"/>
    <x v="12"/>
    <n v="1"/>
    <n v="18000"/>
    <n v="0.2"/>
    <n v="14400"/>
    <n v="3000"/>
    <x v="1"/>
    <n v="0.20833333333333334"/>
  </r>
  <r>
    <s v="ORD014"/>
    <s v="2024-02-03"/>
    <s v="Rekha Sen"/>
    <x v="1"/>
    <x v="0"/>
    <x v="2"/>
    <x v="13"/>
    <n v="8"/>
    <n v="200"/>
    <n v="0"/>
    <n v="1600"/>
    <n v="200"/>
    <x v="1"/>
    <n v="0.125"/>
  </r>
  <r>
    <s v="ORD015"/>
    <s v="2024-02-06"/>
    <s v="Tina Paul"/>
    <x v="3"/>
    <x v="1"/>
    <x v="0"/>
    <x v="14"/>
    <n v="1"/>
    <n v="55000"/>
    <n v="0.1"/>
    <n v="49500"/>
    <n v="7000"/>
    <x v="1"/>
    <n v="0.14141414141414141"/>
  </r>
  <r>
    <s v="ORD016"/>
    <s v="2024-02-08"/>
    <s v="Arun Das"/>
    <x v="0"/>
    <x v="2"/>
    <x v="1"/>
    <x v="15"/>
    <n v="1"/>
    <n v="9000"/>
    <n v="0.05"/>
    <n v="8550"/>
    <n v="1200"/>
    <x v="1"/>
    <n v="0.14035087719298245"/>
  </r>
  <r>
    <s v="ORD017"/>
    <s v="2024-02-09"/>
    <s v="Ritu Sharma"/>
    <x v="1"/>
    <x v="0"/>
    <x v="0"/>
    <x v="16"/>
    <n v="2"/>
    <n v="1200"/>
    <n v="0"/>
    <n v="2400"/>
    <n v="300"/>
    <x v="1"/>
    <n v="0.125"/>
  </r>
  <r>
    <s v="ORD018"/>
    <s v="2024-02-12"/>
    <s v="Joseph King"/>
    <x v="2"/>
    <x v="1"/>
    <x v="2"/>
    <x v="17"/>
    <n v="4"/>
    <n v="250"/>
    <n v="0.1"/>
    <n v="900"/>
    <n v="150"/>
    <x v="1"/>
    <n v="0.16666666666666666"/>
  </r>
  <r>
    <s v="ORD019"/>
    <s v="2024-02-13"/>
    <s v="Manju Gupta"/>
    <x v="3"/>
    <x v="0"/>
    <x v="1"/>
    <x v="18"/>
    <n v="1"/>
    <n v="6000"/>
    <n v="0.15"/>
    <n v="5100"/>
    <n v="900"/>
    <x v="1"/>
    <n v="0.17647058823529413"/>
  </r>
  <r>
    <s v="ORD020"/>
    <s v="2024-02-15"/>
    <s v="Ishaan Singh"/>
    <x v="0"/>
    <x v="1"/>
    <x v="0"/>
    <x v="19"/>
    <n v="1"/>
    <n v="8500"/>
    <n v="0.05"/>
    <n v="8075"/>
    <n v="1100"/>
    <x v="1"/>
    <n v="0.13622291021671826"/>
  </r>
  <r>
    <s v="ORD021"/>
    <s v="2024-02-16"/>
    <s v="Aarti Nair"/>
    <x v="2"/>
    <x v="0"/>
    <x v="2"/>
    <x v="20"/>
    <n v="6"/>
    <n v="120"/>
    <n v="0"/>
    <n v="720"/>
    <n v="100"/>
    <x v="1"/>
    <n v="0.1388888888888889"/>
  </r>
  <r>
    <s v="ORD022"/>
    <s v="2024-02-18"/>
    <s v="Rahul Mehta"/>
    <x v="3"/>
    <x v="2"/>
    <x v="0"/>
    <x v="21"/>
    <n v="1"/>
    <n v="14000"/>
    <n v="0.1"/>
    <n v="12600"/>
    <n v="1800"/>
    <x v="1"/>
    <n v="0.14285714285714285"/>
  </r>
  <r>
    <s v="ORD023"/>
    <s v="2024-02-20"/>
    <s v="Sneha Kapoor"/>
    <x v="1"/>
    <x v="0"/>
    <x v="1"/>
    <x v="22"/>
    <n v="2"/>
    <n v="3000"/>
    <n v="0.05"/>
    <n v="5700"/>
    <n v="800"/>
    <x v="1"/>
    <n v="0.14035087719298245"/>
  </r>
  <r>
    <s v="ORD024"/>
    <s v="2024-02-22"/>
    <s v="Deepak Shetty"/>
    <x v="0"/>
    <x v="1"/>
    <x v="2"/>
    <x v="23"/>
    <n v="15"/>
    <n v="50"/>
    <n v="0"/>
    <n v="750"/>
    <n v="120"/>
    <x v="1"/>
    <n v="0.16"/>
  </r>
  <r>
    <s v="ORD025"/>
    <s v="2024-02-25"/>
    <s v="Anjali Rao"/>
    <x v="2"/>
    <x v="0"/>
    <x v="0"/>
    <x v="24"/>
    <n v="1"/>
    <n v="18000"/>
    <n v="0.1"/>
    <n v="16200"/>
    <n v="2500"/>
    <x v="1"/>
    <n v="0.15432098765432098"/>
  </r>
  <r>
    <s v="ORD026"/>
    <s v="2024-02-27"/>
    <s v="Salman Ali"/>
    <x v="3"/>
    <x v="2"/>
    <x v="1"/>
    <x v="25"/>
    <n v="1"/>
    <n v="7000"/>
    <n v="0.1"/>
    <n v="6300"/>
    <n v="900"/>
    <x v="1"/>
    <n v="0.14285714285714285"/>
  </r>
  <r>
    <s v="ORD027"/>
    <s v="2024-03-01"/>
    <s v="Farah Khan"/>
    <x v="1"/>
    <x v="0"/>
    <x v="2"/>
    <x v="26"/>
    <n v="4"/>
    <n v="180"/>
    <n v="0"/>
    <n v="720"/>
    <n v="100"/>
    <x v="2"/>
    <n v="0.1388888888888889"/>
  </r>
  <r>
    <s v="ORD028"/>
    <s v="2024-03-03"/>
    <s v="Roshan Yadav"/>
    <x v="0"/>
    <x v="1"/>
    <x v="0"/>
    <x v="27"/>
    <n v="1"/>
    <n v="9000"/>
    <n v="0.08"/>
    <n v="8280"/>
    <n v="1100"/>
    <x v="2"/>
    <n v="0.13285024154589373"/>
  </r>
  <r>
    <s v="ORD029"/>
    <s v="2024-03-05"/>
    <s v="Virat Patil"/>
    <x v="2"/>
    <x v="0"/>
    <x v="1"/>
    <x v="28"/>
    <n v="1"/>
    <n v="22000"/>
    <n v="0.2"/>
    <n v="17600"/>
    <n v="3500"/>
    <x v="2"/>
    <n v="0.19886363636363635"/>
  </r>
  <r>
    <s v="ORD030"/>
    <s v="2024-03-06"/>
    <s v="Nishi Shah"/>
    <x v="3"/>
    <x v="2"/>
    <x v="0"/>
    <x v="29"/>
    <n v="2"/>
    <n v="1500"/>
    <n v="0.05"/>
    <n v="2850"/>
    <n v="400"/>
    <x v="2"/>
    <n v="0.140350877192982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97CE2-F72A-4AF0-8881-5CEBF052FE4F}"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35" firstHeaderRow="1" firstDataRow="1" firstDataCol="1"/>
  <pivotFields count="14">
    <pivotField showAll="0"/>
    <pivotField showAll="0"/>
    <pivotField showAll="0"/>
    <pivotField showAll="0">
      <items count="5">
        <item x="3"/>
        <item x="0"/>
        <item x="1"/>
        <item x="2"/>
        <item t="default"/>
      </items>
    </pivotField>
    <pivotField showAll="0"/>
    <pivotField showAll="0"/>
    <pivotField axis="axisRow" showAll="0">
      <items count="31">
        <item x="2"/>
        <item x="0"/>
        <item x="7"/>
        <item x="22"/>
        <item x="11"/>
        <item x="8"/>
        <item x="23"/>
        <item x="26"/>
        <item x="3"/>
        <item x="14"/>
        <item x="13"/>
        <item x="10"/>
        <item x="21"/>
        <item x="6"/>
        <item x="20"/>
        <item x="1"/>
        <item x="15"/>
        <item x="5"/>
        <item x="16"/>
        <item x="19"/>
        <item x="28"/>
        <item x="27"/>
        <item x="9"/>
        <item x="12"/>
        <item x="17"/>
        <item x="4"/>
        <item x="24"/>
        <item x="18"/>
        <item x="29"/>
        <item x="25"/>
        <item t="default"/>
      </items>
    </pivotField>
    <pivotField showAll="0"/>
    <pivotField showAll="0"/>
    <pivotField showAll="0"/>
    <pivotField dataField="1" showAll="0"/>
    <pivotField showAll="0"/>
    <pivotField showAll="0"/>
    <pivotField showAll="0"/>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58F72-7CD4-4BA6-AB95-6103975EC9F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6:E20" firstHeaderRow="1" firstDataRow="1" firstDataCol="1"/>
  <pivotFields count="14">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s>
  <rowFields count="1">
    <field x="12"/>
  </rowFields>
  <rowItems count="4">
    <i>
      <x/>
    </i>
    <i>
      <x v="1"/>
    </i>
    <i>
      <x v="2"/>
    </i>
    <i t="grand">
      <x/>
    </i>
  </rowItems>
  <colItems count="1">
    <i/>
  </colItems>
  <dataFields count="1">
    <dataField name="Sum of Sales" fld="10"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14EAC-CC18-44D6-931D-5DEF9629974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C8" firstHeaderRow="0" firstDataRow="1" firstDataCol="1"/>
  <pivotFields count="14">
    <pivotField showAll="0"/>
    <pivotField showAll="0"/>
    <pivotField showAll="0"/>
    <pivotField axis="axisRow" showAll="0">
      <items count="5">
        <item x="3"/>
        <item x="0"/>
        <item x="1"/>
        <item x="2"/>
        <item t="default"/>
      </items>
    </pivotField>
    <pivotField showAll="0">
      <items count="4">
        <item x="0"/>
        <item x="1"/>
        <item x="2"/>
        <item t="default"/>
      </items>
    </pivotField>
    <pivotField showAll="0">
      <items count="4">
        <item x="0"/>
        <item x="1"/>
        <item x="2"/>
        <item t="default"/>
      </items>
    </pivotField>
    <pivotField showAll="0"/>
    <pivotField showAll="0"/>
    <pivotField showAll="0"/>
    <pivotField showAll="0"/>
    <pivotField dataField="1" showAll="0"/>
    <pivotField dataField="1"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Sales" fld="10" baseField="0" baseItem="0"/>
    <dataField name="Sum of Profit" fld="11" baseField="0" baseItem="0"/>
  </dataFields>
  <chartFormats count="2">
    <chartFormat chart="34"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1243FC-C888-43F4-9575-FD977C448F2E}" sourceName="Region">
  <pivotTables>
    <pivotTable tabId="3" name="PivotTable1"/>
    <pivotTable tabId="3" name="PivotTable3"/>
    <pivotTable tabId="3" name="PivotTable4"/>
  </pivotTables>
  <data>
    <tabular pivotCacheId="146506650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512B90F-4F71-495D-904D-5B32DAB7F2DE}" sourceName="Segment">
  <pivotTables>
    <pivotTable tabId="3" name="PivotTable1"/>
  </pivotTables>
  <data>
    <tabular pivotCacheId="14650665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50C87B5-DCCC-49FD-81D3-59C0CFF9EBEC}" sourceName="Product Category">
  <pivotTables>
    <pivotTable tabId="3" name="PivotTable1"/>
  </pivotTables>
  <data>
    <tabular pivotCacheId="14650665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0F9DFC-81E2-48E1-8320-B4CD098D41D3}" cache="Slicer_Region" caption="Region" rowHeight="234950"/>
  <slicer name="Segment" xr10:uid="{CB8B10BE-CB6F-4BB6-8B32-D353ED9981F4}" cache="Slicer_Segment" caption="Segment" rowHeight="234950"/>
  <slicer name="Product Category" xr10:uid="{CC512BE2-F014-4123-AC06-49D5B4CA6201}"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CC68A-6BBC-4586-8D54-A89751C7C772}" name="Data" displayName="Data" ref="A1:N31" totalsRowShown="0">
  <autoFilter ref="A1:N31" xr:uid="{6D9CC68A-6BBC-4586-8D54-A89751C7C772}"/>
  <tableColumns count="14">
    <tableColumn id="1" xr3:uid="{3B3E6994-ABE7-4CDA-92D8-E4E55B3604B3}" name="Order ID"/>
    <tableColumn id="2" xr3:uid="{E071C86E-3937-464F-ADA2-65CB07AAB94F}" name="Order Date"/>
    <tableColumn id="3" xr3:uid="{70BFB131-D009-48CD-AEC7-73FC19BC281D}" name="Customer Name"/>
    <tableColumn id="4" xr3:uid="{151F28A7-0DA2-4B1B-A2E0-3D6C0C2A5274}" name="Region"/>
    <tableColumn id="5" xr3:uid="{AE2B2B5F-783F-401C-81C4-BEFD89670D96}" name="Segment"/>
    <tableColumn id="6" xr3:uid="{333EE7DB-415E-4011-B663-5457AEFB5F7F}" name="Product Category"/>
    <tableColumn id="7" xr3:uid="{E5617856-D169-442D-B4F2-7719A13A81CB}" name="Product Name"/>
    <tableColumn id="8" xr3:uid="{CCD52874-C03E-4A9F-A02A-F796406062F0}" name="Quantity"/>
    <tableColumn id="9" xr3:uid="{E4674D79-DCB3-4AFF-8022-CA701AFEE7E5}" name="Unit Price"/>
    <tableColumn id="10" xr3:uid="{95FF2ECB-929F-46EC-B635-0AA45942ACC6}" name="Discount"/>
    <tableColumn id="11" xr3:uid="{8B6E0666-FFA5-42A5-8DBF-0F1A118C359C}" name="Sales"/>
    <tableColumn id="12" xr3:uid="{F15A4CEF-F455-4187-9A30-9446DEBA08BE}" name="Profit"/>
    <tableColumn id="13" xr3:uid="{10D966FB-DAB7-411C-9711-81100B68E0DC}" name="order month">
      <calculatedColumnFormula>TEXT(Data[[#This Row],[Order Date]],"mmm-yyyy")</calculatedColumnFormula>
    </tableColumn>
    <tableColumn id="14" xr3:uid="{EEBD022A-1329-4039-8DD5-16FD5F1C677E}" name="profit margi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1F49DC-F236-4EB9-AA3D-75FA418E43C7}" name="Table2" displayName="Table2" ref="A2:B7" totalsRowShown="0">
  <autoFilter ref="A2:B7" xr:uid="{1C1F49DC-F236-4EB9-AA3D-75FA418E43C7}"/>
  <tableColumns count="2">
    <tableColumn id="1" xr3:uid="{EA52CA93-7A9A-4F9A-859F-AE506756A13C}" name="Column1"/>
    <tableColumn id="2" xr3:uid="{AE6380F6-2C08-4EFC-9271-6A1C60227B76}"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92" workbookViewId="0">
      <selection activeCell="Q12" sqref="Q12"/>
    </sheetView>
  </sheetViews>
  <sheetFormatPr defaultRowHeight="14.4" x14ac:dyDescent="0.3"/>
  <cols>
    <col min="1" max="1" width="9.88671875" customWidth="1"/>
    <col min="2" max="2" width="12" customWidth="1"/>
    <col min="3" max="3" width="16.44140625" customWidth="1"/>
    <col min="5" max="5" width="10.33203125" customWidth="1"/>
    <col min="6" max="6" width="17.5546875" customWidth="1"/>
    <col min="7" max="7" width="15" customWidth="1"/>
    <col min="8" max="8" width="10.21875" customWidth="1"/>
    <col min="9" max="9" width="11" customWidth="1"/>
    <col min="10" max="10" width="10.21875" customWidth="1"/>
    <col min="13" max="13" width="10.44140625" customWidth="1"/>
    <col min="14" max="14" width="11.5546875" bestFit="1" customWidth="1"/>
  </cols>
  <sheetData>
    <row r="1" spans="1:14" x14ac:dyDescent="0.3">
      <c r="A1" t="s">
        <v>0</v>
      </c>
      <c r="B1" t="s">
        <v>1</v>
      </c>
      <c r="C1" t="s">
        <v>2</v>
      </c>
      <c r="D1" t="s">
        <v>3</v>
      </c>
      <c r="E1" t="s">
        <v>4</v>
      </c>
      <c r="F1" t="s">
        <v>5</v>
      </c>
      <c r="G1" t="s">
        <v>6</v>
      </c>
      <c r="H1" t="s">
        <v>7</v>
      </c>
      <c r="I1" t="s">
        <v>8</v>
      </c>
      <c r="J1" t="s">
        <v>9</v>
      </c>
      <c r="K1" t="s">
        <v>10</v>
      </c>
      <c r="L1" t="s">
        <v>11</v>
      </c>
      <c r="M1" t="s">
        <v>142</v>
      </c>
      <c r="N1" t="s">
        <v>143</v>
      </c>
    </row>
    <row r="2" spans="1:14" x14ac:dyDescent="0.3">
      <c r="A2" t="s">
        <v>12</v>
      </c>
      <c r="B2" t="s">
        <v>13</v>
      </c>
      <c r="C2" t="s">
        <v>14</v>
      </c>
      <c r="D2" t="s">
        <v>15</v>
      </c>
      <c r="E2" t="s">
        <v>16</v>
      </c>
      <c r="F2" t="s">
        <v>17</v>
      </c>
      <c r="G2" t="s">
        <v>18</v>
      </c>
      <c r="H2">
        <v>2</v>
      </c>
      <c r="I2">
        <v>2500</v>
      </c>
      <c r="J2">
        <v>0.1</v>
      </c>
      <c r="K2">
        <v>4500</v>
      </c>
      <c r="L2">
        <v>800</v>
      </c>
      <c r="M2" t="str">
        <f>TEXT(Data[[#This Row],[Order Date]],"mmm-yyyy")</f>
        <v>Jan-2024</v>
      </c>
      <c r="N2">
        <f>Data[[#This Row],[Profit]]/Data[[#This Row],[Sales]]</f>
        <v>0.17777777777777778</v>
      </c>
    </row>
    <row r="3" spans="1:14" x14ac:dyDescent="0.3">
      <c r="A3" t="s">
        <v>19</v>
      </c>
      <c r="B3" t="s">
        <v>20</v>
      </c>
      <c r="C3" t="s">
        <v>21</v>
      </c>
      <c r="D3" t="s">
        <v>22</v>
      </c>
      <c r="E3" t="s">
        <v>23</v>
      </c>
      <c r="F3" t="s">
        <v>24</v>
      </c>
      <c r="G3" t="s">
        <v>25</v>
      </c>
      <c r="H3">
        <v>1</v>
      </c>
      <c r="I3">
        <v>7000</v>
      </c>
      <c r="J3">
        <v>0.05</v>
      </c>
      <c r="K3">
        <v>6650</v>
      </c>
      <c r="L3">
        <v>1000</v>
      </c>
      <c r="M3" t="str">
        <f>TEXT(Data[[#This Row],[Order Date]],"mmm-yyyy")</f>
        <v>Jan-2024</v>
      </c>
      <c r="N3">
        <f>Data[[#This Row],[Profit]]/Data[[#This Row],[Sales]]</f>
        <v>0.15037593984962405</v>
      </c>
    </row>
    <row r="4" spans="1:14" x14ac:dyDescent="0.3">
      <c r="A4" t="s">
        <v>26</v>
      </c>
      <c r="B4" t="s">
        <v>27</v>
      </c>
      <c r="C4" t="s">
        <v>28</v>
      </c>
      <c r="D4" t="s">
        <v>29</v>
      </c>
      <c r="E4" t="s">
        <v>16</v>
      </c>
      <c r="F4" t="s">
        <v>30</v>
      </c>
      <c r="G4" t="s">
        <v>31</v>
      </c>
      <c r="H4">
        <v>5</v>
      </c>
      <c r="I4">
        <v>300</v>
      </c>
      <c r="J4">
        <v>0</v>
      </c>
      <c r="K4">
        <v>1500</v>
      </c>
      <c r="L4">
        <v>200</v>
      </c>
      <c r="M4" t="str">
        <f>TEXT(Data[[#This Row],[Order Date]],"mmm-yyyy")</f>
        <v>Jan-2024</v>
      </c>
      <c r="N4">
        <f>Data[[#This Row],[Profit]]/Data[[#This Row],[Sales]]</f>
        <v>0.13333333333333333</v>
      </c>
    </row>
    <row r="5" spans="1:14" x14ac:dyDescent="0.3">
      <c r="A5" t="s">
        <v>32</v>
      </c>
      <c r="B5" t="s">
        <v>33</v>
      </c>
      <c r="C5" t="s">
        <v>34</v>
      </c>
      <c r="D5" t="s">
        <v>35</v>
      </c>
      <c r="E5" t="s">
        <v>36</v>
      </c>
      <c r="F5" t="s">
        <v>17</v>
      </c>
      <c r="G5" t="s">
        <v>37</v>
      </c>
      <c r="H5">
        <v>3</v>
      </c>
      <c r="I5">
        <v>1200</v>
      </c>
      <c r="J5">
        <v>0</v>
      </c>
      <c r="K5">
        <v>3600</v>
      </c>
      <c r="L5">
        <v>500</v>
      </c>
      <c r="M5" t="str">
        <f>TEXT(Data[[#This Row],[Order Date]],"mmm-yyyy")</f>
        <v>Jan-2024</v>
      </c>
      <c r="N5">
        <f>Data[[#This Row],[Profit]]/Data[[#This Row],[Sales]]</f>
        <v>0.1388888888888889</v>
      </c>
    </row>
    <row r="6" spans="1:14" x14ac:dyDescent="0.3">
      <c r="A6" t="s">
        <v>38</v>
      </c>
      <c r="B6" t="s">
        <v>39</v>
      </c>
      <c r="C6" t="s">
        <v>40</v>
      </c>
      <c r="D6" t="s">
        <v>15</v>
      </c>
      <c r="E6" t="s">
        <v>16</v>
      </c>
      <c r="F6" t="s">
        <v>24</v>
      </c>
      <c r="G6" t="s">
        <v>41</v>
      </c>
      <c r="H6">
        <v>1</v>
      </c>
      <c r="I6">
        <v>5500</v>
      </c>
      <c r="J6">
        <v>0.2</v>
      </c>
      <c r="K6">
        <v>4400</v>
      </c>
      <c r="L6">
        <v>700</v>
      </c>
      <c r="M6" t="str">
        <f>TEXT(Data[[#This Row],[Order Date]],"mmm-yyyy")</f>
        <v>Jan-2024</v>
      </c>
      <c r="N6">
        <f>Data[[#This Row],[Profit]]/Data[[#This Row],[Sales]]</f>
        <v>0.15909090909090909</v>
      </c>
    </row>
    <row r="7" spans="1:14" x14ac:dyDescent="0.3">
      <c r="A7" t="s">
        <v>42</v>
      </c>
      <c r="B7" t="s">
        <v>43</v>
      </c>
      <c r="C7" t="s">
        <v>44</v>
      </c>
      <c r="D7" t="s">
        <v>22</v>
      </c>
      <c r="E7" t="s">
        <v>23</v>
      </c>
      <c r="F7" t="s">
        <v>30</v>
      </c>
      <c r="G7" t="s">
        <v>45</v>
      </c>
      <c r="H7">
        <v>10</v>
      </c>
      <c r="I7">
        <v>150</v>
      </c>
      <c r="J7">
        <v>0</v>
      </c>
      <c r="K7">
        <v>1500</v>
      </c>
      <c r="L7">
        <v>250</v>
      </c>
      <c r="M7" t="str">
        <f>TEXT(Data[[#This Row],[Order Date]],"mmm-yyyy")</f>
        <v>Jan-2024</v>
      </c>
      <c r="N7">
        <f>Data[[#This Row],[Profit]]/Data[[#This Row],[Sales]]</f>
        <v>0.16666666666666666</v>
      </c>
    </row>
    <row r="8" spans="1:14" x14ac:dyDescent="0.3">
      <c r="A8" t="s">
        <v>46</v>
      </c>
      <c r="B8" t="s">
        <v>47</v>
      </c>
      <c r="C8" t="s">
        <v>48</v>
      </c>
      <c r="D8" t="s">
        <v>29</v>
      </c>
      <c r="E8" t="s">
        <v>16</v>
      </c>
      <c r="F8" t="s">
        <v>17</v>
      </c>
      <c r="G8" t="s">
        <v>49</v>
      </c>
      <c r="H8">
        <v>4</v>
      </c>
      <c r="I8">
        <v>600</v>
      </c>
      <c r="J8">
        <v>0.05</v>
      </c>
      <c r="K8">
        <v>2280</v>
      </c>
      <c r="L8">
        <v>350</v>
      </c>
      <c r="M8" t="str">
        <f>TEXT(Data[[#This Row],[Order Date]],"mmm-yyyy")</f>
        <v>Jan-2024</v>
      </c>
      <c r="N8">
        <f>Data[[#This Row],[Profit]]/Data[[#This Row],[Sales]]</f>
        <v>0.15350877192982457</v>
      </c>
    </row>
    <row r="9" spans="1:14" x14ac:dyDescent="0.3">
      <c r="A9" t="s">
        <v>50</v>
      </c>
      <c r="B9" t="s">
        <v>51</v>
      </c>
      <c r="C9" t="s">
        <v>52</v>
      </c>
      <c r="D9" t="s">
        <v>35</v>
      </c>
      <c r="E9" t="s">
        <v>36</v>
      </c>
      <c r="F9" t="s">
        <v>24</v>
      </c>
      <c r="G9" t="s">
        <v>53</v>
      </c>
      <c r="H9">
        <v>1</v>
      </c>
      <c r="I9">
        <v>8000</v>
      </c>
      <c r="J9">
        <v>0.1</v>
      </c>
      <c r="K9">
        <v>7200</v>
      </c>
      <c r="L9">
        <v>1200</v>
      </c>
      <c r="M9" t="str">
        <f>TEXT(Data[[#This Row],[Order Date]],"mmm-yyyy")</f>
        <v>Jan-2024</v>
      </c>
      <c r="N9">
        <f>Data[[#This Row],[Profit]]/Data[[#This Row],[Sales]]</f>
        <v>0.16666666666666666</v>
      </c>
    </row>
    <row r="10" spans="1:14" x14ac:dyDescent="0.3">
      <c r="A10" t="s">
        <v>54</v>
      </c>
      <c r="B10" t="s">
        <v>55</v>
      </c>
      <c r="C10" t="s">
        <v>56</v>
      </c>
      <c r="D10" t="s">
        <v>15</v>
      </c>
      <c r="E10" t="s">
        <v>23</v>
      </c>
      <c r="F10" t="s">
        <v>30</v>
      </c>
      <c r="G10" t="s">
        <v>57</v>
      </c>
      <c r="H10">
        <v>12</v>
      </c>
      <c r="I10">
        <v>80</v>
      </c>
      <c r="J10">
        <v>0</v>
      </c>
      <c r="K10">
        <v>960</v>
      </c>
      <c r="L10">
        <v>150</v>
      </c>
      <c r="M10" t="str">
        <f>TEXT(Data[[#This Row],[Order Date]],"mmm-yyyy")</f>
        <v>Jan-2024</v>
      </c>
      <c r="N10">
        <f>Data[[#This Row],[Profit]]/Data[[#This Row],[Sales]]</f>
        <v>0.15625</v>
      </c>
    </row>
    <row r="11" spans="1:14" x14ac:dyDescent="0.3">
      <c r="A11" t="s">
        <v>58</v>
      </c>
      <c r="B11" t="s">
        <v>59</v>
      </c>
      <c r="C11" t="s">
        <v>60</v>
      </c>
      <c r="D11" t="s">
        <v>22</v>
      </c>
      <c r="E11" t="s">
        <v>16</v>
      </c>
      <c r="F11" t="s">
        <v>17</v>
      </c>
      <c r="G11" t="s">
        <v>61</v>
      </c>
      <c r="H11">
        <v>1</v>
      </c>
      <c r="I11">
        <v>22000</v>
      </c>
      <c r="J11">
        <v>0.15</v>
      </c>
      <c r="K11">
        <v>18700</v>
      </c>
      <c r="L11">
        <v>2000</v>
      </c>
      <c r="M11" t="str">
        <f>TEXT(Data[[#This Row],[Order Date]],"mmm-yyyy")</f>
        <v>Jan-2024</v>
      </c>
      <c r="N11">
        <f>Data[[#This Row],[Profit]]/Data[[#This Row],[Sales]]</f>
        <v>0.10695187165775401</v>
      </c>
    </row>
    <row r="12" spans="1:14" x14ac:dyDescent="0.3">
      <c r="A12" t="s">
        <v>62</v>
      </c>
      <c r="B12" t="s">
        <v>63</v>
      </c>
      <c r="C12" t="s">
        <v>64</v>
      </c>
      <c r="D12" t="s">
        <v>35</v>
      </c>
      <c r="E12" t="s">
        <v>23</v>
      </c>
      <c r="F12" t="s">
        <v>24</v>
      </c>
      <c r="G12" t="s">
        <v>65</v>
      </c>
      <c r="H12">
        <v>1</v>
      </c>
      <c r="I12">
        <v>15000</v>
      </c>
      <c r="J12">
        <v>0.1</v>
      </c>
      <c r="K12">
        <v>13500</v>
      </c>
      <c r="L12">
        <v>2500</v>
      </c>
      <c r="M12" t="str">
        <f>TEXT(Data[[#This Row],[Order Date]],"mmm-yyyy")</f>
        <v>Jan-2024</v>
      </c>
      <c r="N12">
        <f>Data[[#This Row],[Profit]]/Data[[#This Row],[Sales]]</f>
        <v>0.18518518518518517</v>
      </c>
    </row>
    <row r="13" spans="1:14" x14ac:dyDescent="0.3">
      <c r="A13" t="s">
        <v>66</v>
      </c>
      <c r="B13" t="s">
        <v>67</v>
      </c>
      <c r="C13" t="s">
        <v>68</v>
      </c>
      <c r="D13" t="s">
        <v>15</v>
      </c>
      <c r="E13" t="s">
        <v>36</v>
      </c>
      <c r="F13" t="s">
        <v>17</v>
      </c>
      <c r="G13" t="s">
        <v>69</v>
      </c>
      <c r="H13">
        <v>6</v>
      </c>
      <c r="I13">
        <v>400</v>
      </c>
      <c r="J13">
        <v>0</v>
      </c>
      <c r="K13">
        <v>2400</v>
      </c>
      <c r="L13">
        <v>300</v>
      </c>
      <c r="M13" t="str">
        <f>TEXT(Data[[#This Row],[Order Date]],"mmm-yyyy")</f>
        <v>Jan-2024</v>
      </c>
      <c r="N13">
        <f>Data[[#This Row],[Profit]]/Data[[#This Row],[Sales]]</f>
        <v>0.125</v>
      </c>
    </row>
    <row r="14" spans="1:14" x14ac:dyDescent="0.3">
      <c r="A14" t="s">
        <v>70</v>
      </c>
      <c r="B14" t="s">
        <v>71</v>
      </c>
      <c r="C14" t="s">
        <v>72</v>
      </c>
      <c r="D14" t="s">
        <v>29</v>
      </c>
      <c r="E14" t="s">
        <v>16</v>
      </c>
      <c r="F14" t="s">
        <v>24</v>
      </c>
      <c r="G14" t="s">
        <v>73</v>
      </c>
      <c r="H14">
        <v>1</v>
      </c>
      <c r="I14">
        <v>18000</v>
      </c>
      <c r="J14">
        <v>0.2</v>
      </c>
      <c r="K14">
        <v>14400</v>
      </c>
      <c r="L14">
        <v>3000</v>
      </c>
      <c r="M14" t="str">
        <f>TEXT(Data[[#This Row],[Order Date]],"mmm-yyyy")</f>
        <v>Feb-2024</v>
      </c>
      <c r="N14">
        <f>Data[[#This Row],[Profit]]/Data[[#This Row],[Sales]]</f>
        <v>0.20833333333333334</v>
      </c>
    </row>
    <row r="15" spans="1:14" x14ac:dyDescent="0.3">
      <c r="A15" t="s">
        <v>74</v>
      </c>
      <c r="B15" t="s">
        <v>75</v>
      </c>
      <c r="C15" t="s">
        <v>76</v>
      </c>
      <c r="D15" t="s">
        <v>22</v>
      </c>
      <c r="E15" t="s">
        <v>16</v>
      </c>
      <c r="F15" t="s">
        <v>30</v>
      </c>
      <c r="G15" t="s">
        <v>77</v>
      </c>
      <c r="H15">
        <v>8</v>
      </c>
      <c r="I15">
        <v>200</v>
      </c>
      <c r="J15">
        <v>0</v>
      </c>
      <c r="K15">
        <v>1600</v>
      </c>
      <c r="L15">
        <v>200</v>
      </c>
      <c r="M15" t="str">
        <f>TEXT(Data[[#This Row],[Order Date]],"mmm-yyyy")</f>
        <v>Feb-2024</v>
      </c>
      <c r="N15">
        <f>Data[[#This Row],[Profit]]/Data[[#This Row],[Sales]]</f>
        <v>0.125</v>
      </c>
    </row>
    <row r="16" spans="1:14" x14ac:dyDescent="0.3">
      <c r="A16" t="s">
        <v>78</v>
      </c>
      <c r="B16" t="s">
        <v>79</v>
      </c>
      <c r="C16" t="s">
        <v>80</v>
      </c>
      <c r="D16" t="s">
        <v>35</v>
      </c>
      <c r="E16" t="s">
        <v>23</v>
      </c>
      <c r="F16" t="s">
        <v>17</v>
      </c>
      <c r="G16" t="s">
        <v>81</v>
      </c>
      <c r="H16">
        <v>1</v>
      </c>
      <c r="I16">
        <v>55000</v>
      </c>
      <c r="J16">
        <v>0.1</v>
      </c>
      <c r="K16">
        <v>49500</v>
      </c>
      <c r="L16">
        <v>7000</v>
      </c>
      <c r="M16" t="str">
        <f>TEXT(Data[[#This Row],[Order Date]],"mmm-yyyy")</f>
        <v>Feb-2024</v>
      </c>
      <c r="N16">
        <f>Data[[#This Row],[Profit]]/Data[[#This Row],[Sales]]</f>
        <v>0.14141414141414141</v>
      </c>
    </row>
    <row r="17" spans="1:14" x14ac:dyDescent="0.3">
      <c r="A17" t="s">
        <v>82</v>
      </c>
      <c r="B17" t="s">
        <v>83</v>
      </c>
      <c r="C17" t="s">
        <v>84</v>
      </c>
      <c r="D17" t="s">
        <v>15</v>
      </c>
      <c r="E17" t="s">
        <v>36</v>
      </c>
      <c r="F17" t="s">
        <v>24</v>
      </c>
      <c r="G17" t="s">
        <v>85</v>
      </c>
      <c r="H17">
        <v>1</v>
      </c>
      <c r="I17">
        <v>9000</v>
      </c>
      <c r="J17">
        <v>0.05</v>
      </c>
      <c r="K17">
        <v>8550</v>
      </c>
      <c r="L17">
        <v>1200</v>
      </c>
      <c r="M17" t="str">
        <f>TEXT(Data[[#This Row],[Order Date]],"mmm-yyyy")</f>
        <v>Feb-2024</v>
      </c>
      <c r="N17">
        <f>Data[[#This Row],[Profit]]/Data[[#This Row],[Sales]]</f>
        <v>0.14035087719298245</v>
      </c>
    </row>
    <row r="18" spans="1:14" x14ac:dyDescent="0.3">
      <c r="A18" t="s">
        <v>86</v>
      </c>
      <c r="B18" t="s">
        <v>87</v>
      </c>
      <c r="C18" t="s">
        <v>88</v>
      </c>
      <c r="D18" t="s">
        <v>22</v>
      </c>
      <c r="E18" t="s">
        <v>16</v>
      </c>
      <c r="F18" t="s">
        <v>17</v>
      </c>
      <c r="G18" t="s">
        <v>89</v>
      </c>
      <c r="H18">
        <v>2</v>
      </c>
      <c r="I18">
        <v>1200</v>
      </c>
      <c r="J18">
        <v>0</v>
      </c>
      <c r="K18">
        <v>2400</v>
      </c>
      <c r="L18">
        <v>300</v>
      </c>
      <c r="M18" t="str">
        <f>TEXT(Data[[#This Row],[Order Date]],"mmm-yyyy")</f>
        <v>Feb-2024</v>
      </c>
      <c r="N18">
        <f>Data[[#This Row],[Profit]]/Data[[#This Row],[Sales]]</f>
        <v>0.125</v>
      </c>
    </row>
    <row r="19" spans="1:14" x14ac:dyDescent="0.3">
      <c r="A19" t="s">
        <v>90</v>
      </c>
      <c r="B19" t="s">
        <v>91</v>
      </c>
      <c r="C19" t="s">
        <v>92</v>
      </c>
      <c r="D19" t="s">
        <v>29</v>
      </c>
      <c r="E19" t="s">
        <v>23</v>
      </c>
      <c r="F19" t="s">
        <v>30</v>
      </c>
      <c r="G19" t="s">
        <v>93</v>
      </c>
      <c r="H19">
        <v>4</v>
      </c>
      <c r="I19">
        <v>250</v>
      </c>
      <c r="J19">
        <v>0.1</v>
      </c>
      <c r="K19">
        <v>900</v>
      </c>
      <c r="L19">
        <v>150</v>
      </c>
      <c r="M19" t="str">
        <f>TEXT(Data[[#This Row],[Order Date]],"mmm-yyyy")</f>
        <v>Feb-2024</v>
      </c>
      <c r="N19">
        <f>Data[[#This Row],[Profit]]/Data[[#This Row],[Sales]]</f>
        <v>0.16666666666666666</v>
      </c>
    </row>
    <row r="20" spans="1:14" x14ac:dyDescent="0.3">
      <c r="A20" t="s">
        <v>94</v>
      </c>
      <c r="B20" t="s">
        <v>95</v>
      </c>
      <c r="C20" t="s">
        <v>96</v>
      </c>
      <c r="D20" t="s">
        <v>35</v>
      </c>
      <c r="E20" t="s">
        <v>16</v>
      </c>
      <c r="F20" t="s">
        <v>24</v>
      </c>
      <c r="G20" t="s">
        <v>97</v>
      </c>
      <c r="H20">
        <v>1</v>
      </c>
      <c r="I20">
        <v>6000</v>
      </c>
      <c r="J20">
        <v>0.15</v>
      </c>
      <c r="K20">
        <v>5100</v>
      </c>
      <c r="L20">
        <v>900</v>
      </c>
      <c r="M20" t="str">
        <f>TEXT(Data[[#This Row],[Order Date]],"mmm-yyyy")</f>
        <v>Feb-2024</v>
      </c>
      <c r="N20">
        <f>Data[[#This Row],[Profit]]/Data[[#This Row],[Sales]]</f>
        <v>0.17647058823529413</v>
      </c>
    </row>
    <row r="21" spans="1:14" x14ac:dyDescent="0.3">
      <c r="A21" t="s">
        <v>98</v>
      </c>
      <c r="B21" t="s">
        <v>99</v>
      </c>
      <c r="C21" t="s">
        <v>100</v>
      </c>
      <c r="D21" t="s">
        <v>15</v>
      </c>
      <c r="E21" t="s">
        <v>23</v>
      </c>
      <c r="F21" t="s">
        <v>17</v>
      </c>
      <c r="G21" t="s">
        <v>101</v>
      </c>
      <c r="H21">
        <v>1</v>
      </c>
      <c r="I21">
        <v>8500</v>
      </c>
      <c r="J21">
        <v>0.05</v>
      </c>
      <c r="K21">
        <v>8075</v>
      </c>
      <c r="L21">
        <v>1100</v>
      </c>
      <c r="M21" t="str">
        <f>TEXT(Data[[#This Row],[Order Date]],"mmm-yyyy")</f>
        <v>Feb-2024</v>
      </c>
      <c r="N21">
        <f>Data[[#This Row],[Profit]]/Data[[#This Row],[Sales]]</f>
        <v>0.13622291021671826</v>
      </c>
    </row>
    <row r="22" spans="1:14" x14ac:dyDescent="0.3">
      <c r="A22" t="s">
        <v>102</v>
      </c>
      <c r="B22" t="s">
        <v>103</v>
      </c>
      <c r="C22" t="s">
        <v>104</v>
      </c>
      <c r="D22" t="s">
        <v>29</v>
      </c>
      <c r="E22" t="s">
        <v>16</v>
      </c>
      <c r="F22" t="s">
        <v>30</v>
      </c>
      <c r="G22" t="s">
        <v>105</v>
      </c>
      <c r="H22">
        <v>6</v>
      </c>
      <c r="I22">
        <v>120</v>
      </c>
      <c r="J22">
        <v>0</v>
      </c>
      <c r="K22">
        <v>720</v>
      </c>
      <c r="L22">
        <v>100</v>
      </c>
      <c r="M22" t="str">
        <f>TEXT(Data[[#This Row],[Order Date]],"mmm-yyyy")</f>
        <v>Feb-2024</v>
      </c>
      <c r="N22">
        <f>Data[[#This Row],[Profit]]/Data[[#This Row],[Sales]]</f>
        <v>0.1388888888888889</v>
      </c>
    </row>
    <row r="23" spans="1:14" x14ac:dyDescent="0.3">
      <c r="A23" t="s">
        <v>106</v>
      </c>
      <c r="B23" t="s">
        <v>107</v>
      </c>
      <c r="C23" t="s">
        <v>108</v>
      </c>
      <c r="D23" t="s">
        <v>35</v>
      </c>
      <c r="E23" t="s">
        <v>36</v>
      </c>
      <c r="F23" t="s">
        <v>17</v>
      </c>
      <c r="G23" t="s">
        <v>109</v>
      </c>
      <c r="H23">
        <v>1</v>
      </c>
      <c r="I23">
        <v>14000</v>
      </c>
      <c r="J23">
        <v>0.1</v>
      </c>
      <c r="K23">
        <v>12600</v>
      </c>
      <c r="L23">
        <v>1800</v>
      </c>
      <c r="M23" t="str">
        <f>TEXT(Data[[#This Row],[Order Date]],"mmm-yyyy")</f>
        <v>Feb-2024</v>
      </c>
      <c r="N23">
        <f>Data[[#This Row],[Profit]]/Data[[#This Row],[Sales]]</f>
        <v>0.14285714285714285</v>
      </c>
    </row>
    <row r="24" spans="1:14" x14ac:dyDescent="0.3">
      <c r="A24" t="s">
        <v>110</v>
      </c>
      <c r="B24" t="s">
        <v>111</v>
      </c>
      <c r="C24" t="s">
        <v>112</v>
      </c>
      <c r="D24" t="s">
        <v>22</v>
      </c>
      <c r="E24" t="s">
        <v>16</v>
      </c>
      <c r="F24" t="s">
        <v>24</v>
      </c>
      <c r="G24" t="s">
        <v>113</v>
      </c>
      <c r="H24">
        <v>2</v>
      </c>
      <c r="I24">
        <v>3000</v>
      </c>
      <c r="J24">
        <v>0.05</v>
      </c>
      <c r="K24">
        <v>5700</v>
      </c>
      <c r="L24">
        <v>800</v>
      </c>
      <c r="M24" t="str">
        <f>TEXT(Data[[#This Row],[Order Date]],"mmm-yyyy")</f>
        <v>Feb-2024</v>
      </c>
      <c r="N24">
        <f>Data[[#This Row],[Profit]]/Data[[#This Row],[Sales]]</f>
        <v>0.14035087719298245</v>
      </c>
    </row>
    <row r="25" spans="1:14" x14ac:dyDescent="0.3">
      <c r="A25" t="s">
        <v>114</v>
      </c>
      <c r="B25" t="s">
        <v>115</v>
      </c>
      <c r="C25" t="s">
        <v>116</v>
      </c>
      <c r="D25" t="s">
        <v>15</v>
      </c>
      <c r="E25" t="s">
        <v>23</v>
      </c>
      <c r="F25" t="s">
        <v>30</v>
      </c>
      <c r="G25" t="s">
        <v>117</v>
      </c>
      <c r="H25">
        <v>15</v>
      </c>
      <c r="I25">
        <v>50</v>
      </c>
      <c r="J25">
        <v>0</v>
      </c>
      <c r="K25">
        <v>750</v>
      </c>
      <c r="L25">
        <v>120</v>
      </c>
      <c r="M25" t="str">
        <f>TEXT(Data[[#This Row],[Order Date]],"mmm-yyyy")</f>
        <v>Feb-2024</v>
      </c>
      <c r="N25">
        <f>Data[[#This Row],[Profit]]/Data[[#This Row],[Sales]]</f>
        <v>0.16</v>
      </c>
    </row>
    <row r="26" spans="1:14" x14ac:dyDescent="0.3">
      <c r="A26" t="s">
        <v>118</v>
      </c>
      <c r="B26" t="s">
        <v>119</v>
      </c>
      <c r="C26" t="s">
        <v>120</v>
      </c>
      <c r="D26" t="s">
        <v>29</v>
      </c>
      <c r="E26" t="s">
        <v>16</v>
      </c>
      <c r="F26" t="s">
        <v>17</v>
      </c>
      <c r="G26" t="s">
        <v>121</v>
      </c>
      <c r="H26">
        <v>1</v>
      </c>
      <c r="I26">
        <v>18000</v>
      </c>
      <c r="J26">
        <v>0.1</v>
      </c>
      <c r="K26">
        <v>16200</v>
      </c>
      <c r="L26">
        <v>2500</v>
      </c>
      <c r="M26" t="str">
        <f>TEXT(Data[[#This Row],[Order Date]],"mmm-yyyy")</f>
        <v>Feb-2024</v>
      </c>
      <c r="N26">
        <f>Data[[#This Row],[Profit]]/Data[[#This Row],[Sales]]</f>
        <v>0.15432098765432098</v>
      </c>
    </row>
    <row r="27" spans="1:14" x14ac:dyDescent="0.3">
      <c r="A27" t="s">
        <v>122</v>
      </c>
      <c r="B27" t="s">
        <v>123</v>
      </c>
      <c r="C27" t="s">
        <v>124</v>
      </c>
      <c r="D27" t="s">
        <v>35</v>
      </c>
      <c r="E27" t="s">
        <v>36</v>
      </c>
      <c r="F27" t="s">
        <v>24</v>
      </c>
      <c r="G27" t="s">
        <v>125</v>
      </c>
      <c r="H27">
        <v>1</v>
      </c>
      <c r="I27">
        <v>7000</v>
      </c>
      <c r="J27">
        <v>0.1</v>
      </c>
      <c r="K27">
        <v>6300</v>
      </c>
      <c r="L27">
        <v>900</v>
      </c>
      <c r="M27" t="str">
        <f>TEXT(Data[[#This Row],[Order Date]],"mmm-yyyy")</f>
        <v>Feb-2024</v>
      </c>
      <c r="N27">
        <f>Data[[#This Row],[Profit]]/Data[[#This Row],[Sales]]</f>
        <v>0.14285714285714285</v>
      </c>
    </row>
    <row r="28" spans="1:14" x14ac:dyDescent="0.3">
      <c r="A28" t="s">
        <v>126</v>
      </c>
      <c r="B28" t="s">
        <v>127</v>
      </c>
      <c r="C28" t="s">
        <v>128</v>
      </c>
      <c r="D28" t="s">
        <v>22</v>
      </c>
      <c r="E28" t="s">
        <v>16</v>
      </c>
      <c r="F28" t="s">
        <v>30</v>
      </c>
      <c r="G28" t="s">
        <v>129</v>
      </c>
      <c r="H28">
        <v>4</v>
      </c>
      <c r="I28">
        <v>180</v>
      </c>
      <c r="J28">
        <v>0</v>
      </c>
      <c r="K28">
        <v>720</v>
      </c>
      <c r="L28">
        <v>100</v>
      </c>
      <c r="M28" t="str">
        <f>TEXT(Data[[#This Row],[Order Date]],"mmm-yyyy")</f>
        <v>Mar-2024</v>
      </c>
      <c r="N28">
        <f>Data[[#This Row],[Profit]]/Data[[#This Row],[Sales]]</f>
        <v>0.1388888888888889</v>
      </c>
    </row>
    <row r="29" spans="1:14" x14ac:dyDescent="0.3">
      <c r="A29" t="s">
        <v>130</v>
      </c>
      <c r="B29" t="s">
        <v>131</v>
      </c>
      <c r="C29" t="s">
        <v>132</v>
      </c>
      <c r="D29" t="s">
        <v>15</v>
      </c>
      <c r="E29" t="s">
        <v>23</v>
      </c>
      <c r="F29" t="s">
        <v>17</v>
      </c>
      <c r="G29" t="s">
        <v>133</v>
      </c>
      <c r="H29">
        <v>1</v>
      </c>
      <c r="I29">
        <v>9000</v>
      </c>
      <c r="J29">
        <v>0.08</v>
      </c>
      <c r="K29">
        <v>8280</v>
      </c>
      <c r="L29">
        <v>1100</v>
      </c>
      <c r="M29" t="str">
        <f>TEXT(Data[[#This Row],[Order Date]],"mmm-yyyy")</f>
        <v>Mar-2024</v>
      </c>
      <c r="N29">
        <f>Data[[#This Row],[Profit]]/Data[[#This Row],[Sales]]</f>
        <v>0.13285024154589373</v>
      </c>
    </row>
    <row r="30" spans="1:14" x14ac:dyDescent="0.3">
      <c r="A30" t="s">
        <v>134</v>
      </c>
      <c r="B30" t="s">
        <v>135</v>
      </c>
      <c r="C30" t="s">
        <v>136</v>
      </c>
      <c r="D30" t="s">
        <v>29</v>
      </c>
      <c r="E30" t="s">
        <v>16</v>
      </c>
      <c r="F30" t="s">
        <v>24</v>
      </c>
      <c r="G30" t="s">
        <v>137</v>
      </c>
      <c r="H30">
        <v>1</v>
      </c>
      <c r="I30">
        <v>22000</v>
      </c>
      <c r="J30">
        <v>0.2</v>
      </c>
      <c r="K30">
        <v>17600</v>
      </c>
      <c r="L30">
        <v>3500</v>
      </c>
      <c r="M30" t="str">
        <f>TEXT(Data[[#This Row],[Order Date]],"mmm-yyyy")</f>
        <v>Mar-2024</v>
      </c>
      <c r="N30">
        <f>Data[[#This Row],[Profit]]/Data[[#This Row],[Sales]]</f>
        <v>0.19886363636363635</v>
      </c>
    </row>
    <row r="31" spans="1:14" x14ac:dyDescent="0.3">
      <c r="A31" t="s">
        <v>138</v>
      </c>
      <c r="B31" t="s">
        <v>139</v>
      </c>
      <c r="C31" t="s">
        <v>140</v>
      </c>
      <c r="D31" t="s">
        <v>35</v>
      </c>
      <c r="E31" t="s">
        <v>36</v>
      </c>
      <c r="F31" t="s">
        <v>17</v>
      </c>
      <c r="G31" t="s">
        <v>141</v>
      </c>
      <c r="H31">
        <v>2</v>
      </c>
      <c r="I31">
        <v>1500</v>
      </c>
      <c r="J31">
        <v>0.05</v>
      </c>
      <c r="K31">
        <v>2850</v>
      </c>
      <c r="L31">
        <v>400</v>
      </c>
      <c r="M31" t="str">
        <f>TEXT(Data[[#This Row],[Order Date]],"mmm-yyyy")</f>
        <v>Mar-2024</v>
      </c>
      <c r="N31">
        <f>Data[[#This Row],[Profit]]/Data[[#This Row],[Sales]]</f>
        <v>0.14035087719298245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CF46-C69C-472E-96A2-566AA27517F3}">
  <dimension ref="A3:H35"/>
  <sheetViews>
    <sheetView zoomScale="74" workbookViewId="0">
      <selection activeCell="E17" sqref="E17"/>
    </sheetView>
  </sheetViews>
  <sheetFormatPr defaultRowHeight="14.4" x14ac:dyDescent="0.3"/>
  <cols>
    <col min="1" max="1" width="12.5546875" bestFit="1" customWidth="1"/>
    <col min="2" max="2" width="11.6640625" bestFit="1" customWidth="1"/>
    <col min="3" max="3" width="12.109375" bestFit="1" customWidth="1"/>
    <col min="4" max="4" width="12.5546875" bestFit="1" customWidth="1"/>
    <col min="5" max="5" width="11.6640625" bestFit="1" customWidth="1"/>
    <col min="7" max="7" width="16.109375" bestFit="1" customWidth="1"/>
    <col min="8" max="8" width="11.6640625" bestFit="1" customWidth="1"/>
  </cols>
  <sheetData>
    <row r="3" spans="1:8" x14ac:dyDescent="0.3">
      <c r="A3" s="1" t="s">
        <v>144</v>
      </c>
      <c r="B3" t="s">
        <v>146</v>
      </c>
      <c r="C3" t="s">
        <v>147</v>
      </c>
    </row>
    <row r="4" spans="1:8" x14ac:dyDescent="0.3">
      <c r="A4" s="2" t="s">
        <v>35</v>
      </c>
      <c r="B4" s="3">
        <v>100650</v>
      </c>
      <c r="C4" s="3">
        <v>15200</v>
      </c>
      <c r="G4" s="1" t="s">
        <v>144</v>
      </c>
      <c r="H4" t="s">
        <v>146</v>
      </c>
    </row>
    <row r="5" spans="1:8" x14ac:dyDescent="0.3">
      <c r="A5" s="2" t="s">
        <v>15</v>
      </c>
      <c r="B5" s="3">
        <v>37915</v>
      </c>
      <c r="C5" s="3">
        <v>5470</v>
      </c>
      <c r="G5" s="2" t="s">
        <v>31</v>
      </c>
      <c r="H5" s="3">
        <v>1500</v>
      </c>
    </row>
    <row r="6" spans="1:8" x14ac:dyDescent="0.3">
      <c r="A6" s="2" t="s">
        <v>22</v>
      </c>
      <c r="B6" s="3">
        <v>37270</v>
      </c>
      <c r="C6" s="3">
        <v>4650</v>
      </c>
      <c r="G6" s="2" t="s">
        <v>18</v>
      </c>
      <c r="H6" s="3">
        <v>4500</v>
      </c>
    </row>
    <row r="7" spans="1:8" x14ac:dyDescent="0.3">
      <c r="A7" s="2" t="s">
        <v>29</v>
      </c>
      <c r="B7" s="3">
        <v>53600</v>
      </c>
      <c r="C7" s="3">
        <v>9800</v>
      </c>
      <c r="G7" s="2" t="s">
        <v>53</v>
      </c>
      <c r="H7" s="3">
        <v>7200</v>
      </c>
    </row>
    <row r="8" spans="1:8" x14ac:dyDescent="0.3">
      <c r="A8" s="2" t="s">
        <v>145</v>
      </c>
      <c r="B8" s="3">
        <v>229435</v>
      </c>
      <c r="C8" s="3">
        <v>35120</v>
      </c>
      <c r="G8" s="2" t="s">
        <v>113</v>
      </c>
      <c r="H8" s="3">
        <v>5700</v>
      </c>
    </row>
    <row r="9" spans="1:8" x14ac:dyDescent="0.3">
      <c r="G9" s="2" t="s">
        <v>69</v>
      </c>
      <c r="H9" s="3">
        <v>2400</v>
      </c>
    </row>
    <row r="10" spans="1:8" x14ac:dyDescent="0.3">
      <c r="G10" s="2" t="s">
        <v>57</v>
      </c>
      <c r="H10" s="3">
        <v>960</v>
      </c>
    </row>
    <row r="11" spans="1:8" x14ac:dyDescent="0.3">
      <c r="G11" s="2" t="s">
        <v>117</v>
      </c>
      <c r="H11" s="3">
        <v>750</v>
      </c>
    </row>
    <row r="12" spans="1:8" x14ac:dyDescent="0.3">
      <c r="G12" s="2" t="s">
        <v>129</v>
      </c>
      <c r="H12" s="3">
        <v>720</v>
      </c>
    </row>
    <row r="13" spans="1:8" x14ac:dyDescent="0.3">
      <c r="G13" s="2" t="s">
        <v>37</v>
      </c>
      <c r="H13" s="3">
        <v>3600</v>
      </c>
    </row>
    <row r="14" spans="1:8" x14ac:dyDescent="0.3">
      <c r="G14" s="2" t="s">
        <v>81</v>
      </c>
      <c r="H14" s="3">
        <v>49500</v>
      </c>
    </row>
    <row r="15" spans="1:8" x14ac:dyDescent="0.3">
      <c r="G15" s="2" t="s">
        <v>77</v>
      </c>
      <c r="H15" s="3">
        <v>1600</v>
      </c>
    </row>
    <row r="16" spans="1:8" x14ac:dyDescent="0.3">
      <c r="D16" s="1" t="s">
        <v>144</v>
      </c>
      <c r="E16" t="s">
        <v>146</v>
      </c>
      <c r="G16" s="2" t="s">
        <v>65</v>
      </c>
      <c r="H16" s="3">
        <v>13500</v>
      </c>
    </row>
    <row r="17" spans="4:8" x14ac:dyDescent="0.3">
      <c r="D17" s="2" t="s">
        <v>148</v>
      </c>
      <c r="E17" s="3">
        <v>132795</v>
      </c>
      <c r="G17" s="2" t="s">
        <v>109</v>
      </c>
      <c r="H17" s="3">
        <v>12600</v>
      </c>
    </row>
    <row r="18" spans="4:8" x14ac:dyDescent="0.3">
      <c r="D18" s="2" t="s">
        <v>149</v>
      </c>
      <c r="E18" s="3">
        <v>67190</v>
      </c>
      <c r="G18" s="2" t="s">
        <v>49</v>
      </c>
      <c r="H18" s="3">
        <v>2280</v>
      </c>
    </row>
    <row r="19" spans="4:8" x14ac:dyDescent="0.3">
      <c r="D19" s="2" t="s">
        <v>150</v>
      </c>
      <c r="E19" s="3">
        <v>29450</v>
      </c>
      <c r="G19" s="2" t="s">
        <v>105</v>
      </c>
      <c r="H19" s="3">
        <v>720</v>
      </c>
    </row>
    <row r="20" spans="4:8" x14ac:dyDescent="0.3">
      <c r="D20" s="2" t="s">
        <v>145</v>
      </c>
      <c r="E20" s="3">
        <v>229435</v>
      </c>
      <c r="G20" s="2" t="s">
        <v>25</v>
      </c>
      <c r="H20" s="3">
        <v>6650</v>
      </c>
    </row>
    <row r="21" spans="4:8" x14ac:dyDescent="0.3">
      <c r="G21" s="2" t="s">
        <v>85</v>
      </c>
      <c r="H21" s="3">
        <v>8550</v>
      </c>
    </row>
    <row r="22" spans="4:8" x14ac:dyDescent="0.3">
      <c r="G22" s="2" t="s">
        <v>45</v>
      </c>
      <c r="H22" s="3">
        <v>1500</v>
      </c>
    </row>
    <row r="23" spans="4:8" x14ac:dyDescent="0.3">
      <c r="G23" s="2" t="s">
        <v>89</v>
      </c>
      <c r="H23" s="3">
        <v>2400</v>
      </c>
    </row>
    <row r="24" spans="4:8" x14ac:dyDescent="0.3">
      <c r="G24" s="2" t="s">
        <v>101</v>
      </c>
      <c r="H24" s="3">
        <v>8075</v>
      </c>
    </row>
    <row r="25" spans="4:8" x14ac:dyDescent="0.3">
      <c r="G25" s="2" t="s">
        <v>137</v>
      </c>
      <c r="H25" s="3">
        <v>17600</v>
      </c>
    </row>
    <row r="26" spans="4:8" x14ac:dyDescent="0.3">
      <c r="G26" s="2" t="s">
        <v>133</v>
      </c>
      <c r="H26" s="3">
        <v>8280</v>
      </c>
    </row>
    <row r="27" spans="4:8" x14ac:dyDescent="0.3">
      <c r="G27" s="2" t="s">
        <v>61</v>
      </c>
      <c r="H27" s="3">
        <v>18700</v>
      </c>
    </row>
    <row r="28" spans="4:8" x14ac:dyDescent="0.3">
      <c r="G28" s="2" t="s">
        <v>73</v>
      </c>
      <c r="H28" s="3">
        <v>14400</v>
      </c>
    </row>
    <row r="29" spans="4:8" x14ac:dyDescent="0.3">
      <c r="G29" s="2" t="s">
        <v>93</v>
      </c>
      <c r="H29" s="3">
        <v>900</v>
      </c>
    </row>
    <row r="30" spans="4:8" x14ac:dyDescent="0.3">
      <c r="G30" s="2" t="s">
        <v>41</v>
      </c>
      <c r="H30" s="3">
        <v>4400</v>
      </c>
    </row>
    <row r="31" spans="4:8" x14ac:dyDescent="0.3">
      <c r="G31" s="2" t="s">
        <v>121</v>
      </c>
      <c r="H31" s="3">
        <v>16200</v>
      </c>
    </row>
    <row r="32" spans="4:8" x14ac:dyDescent="0.3">
      <c r="G32" s="2" t="s">
        <v>97</v>
      </c>
      <c r="H32" s="3">
        <v>5100</v>
      </c>
    </row>
    <row r="33" spans="7:8" x14ac:dyDescent="0.3">
      <c r="G33" s="2" t="s">
        <v>141</v>
      </c>
      <c r="H33" s="3">
        <v>2850</v>
      </c>
    </row>
    <row r="34" spans="7:8" x14ac:dyDescent="0.3">
      <c r="G34" s="2" t="s">
        <v>125</v>
      </c>
      <c r="H34" s="3">
        <v>6300</v>
      </c>
    </row>
    <row r="35" spans="7:8" x14ac:dyDescent="0.3">
      <c r="G35" s="2" t="s">
        <v>145</v>
      </c>
      <c r="H35" s="3">
        <v>229435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A99B-F0C0-456F-B9A2-449C0E2CD743}">
  <dimension ref="A1:B6"/>
  <sheetViews>
    <sheetView zoomScale="80" workbookViewId="0">
      <selection activeCell="L7" sqref="L7"/>
    </sheetView>
  </sheetViews>
  <sheetFormatPr defaultRowHeight="14.4" x14ac:dyDescent="0.3"/>
  <cols>
    <col min="1" max="1" width="15.109375" bestFit="1" customWidth="1"/>
    <col min="2" max="2" width="27.109375" bestFit="1" customWidth="1"/>
  </cols>
  <sheetData>
    <row r="1" spans="1:2" x14ac:dyDescent="0.3">
      <c r="B1" s="4" t="s">
        <v>157</v>
      </c>
    </row>
    <row r="2" spans="1:2" x14ac:dyDescent="0.3">
      <c r="A2" t="s">
        <v>155</v>
      </c>
      <c r="B2" t="s">
        <v>156</v>
      </c>
    </row>
    <row r="3" spans="1:2" x14ac:dyDescent="0.3">
      <c r="A3" t="s">
        <v>151</v>
      </c>
      <c r="B3">
        <f>SUM(Data[Sales])</f>
        <v>229435</v>
      </c>
    </row>
    <row r="4" spans="1:2" x14ac:dyDescent="0.3">
      <c r="A4" t="s">
        <v>152</v>
      </c>
      <c r="B4">
        <f>SUM(Data[Profit])</f>
        <v>35120</v>
      </c>
    </row>
    <row r="5" spans="1:2" x14ac:dyDescent="0.3">
      <c r="A5" t="s">
        <v>153</v>
      </c>
      <c r="B5">
        <f>AVERAGE(Data[profit margin])</f>
        <v>0.15097944038492153</v>
      </c>
    </row>
    <row r="6" spans="1:2" x14ac:dyDescent="0.3">
      <c r="A6" t="s">
        <v>154</v>
      </c>
      <c r="B6">
        <f>COUNTA(Data[Order ID])</f>
        <v>30</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3632-82DA-402E-9044-0C8F7BB25935}">
  <dimension ref="A1:E20"/>
  <sheetViews>
    <sheetView workbookViewId="0">
      <selection activeCell="E7" sqref="E7"/>
    </sheetView>
  </sheetViews>
  <sheetFormatPr defaultRowHeight="14.4" x14ac:dyDescent="0.3"/>
  <cols>
    <col min="1" max="1" width="15.109375" bestFit="1" customWidth="1"/>
    <col min="4" max="4" width="10.33203125" bestFit="1" customWidth="1"/>
  </cols>
  <sheetData>
    <row r="1" spans="1:5" x14ac:dyDescent="0.3">
      <c r="A1" s="6" t="s">
        <v>151</v>
      </c>
      <c r="B1">
        <f>SUM(Data[Sales])</f>
        <v>229435</v>
      </c>
    </row>
    <row r="2" spans="1:5" x14ac:dyDescent="0.3">
      <c r="A2" t="s">
        <v>152</v>
      </c>
      <c r="B2">
        <f>SUM(Data[Profit])</f>
        <v>35120</v>
      </c>
    </row>
    <row r="3" spans="1:5" x14ac:dyDescent="0.3">
      <c r="A3" s="6" t="s">
        <v>153</v>
      </c>
      <c r="B3">
        <f>AVERAGE(Data[profit margin])</f>
        <v>0.15097944038492153</v>
      </c>
    </row>
    <row r="4" spans="1:5" x14ac:dyDescent="0.3">
      <c r="A4" t="s">
        <v>158</v>
      </c>
      <c r="B4">
        <f>COUNTA(Data[Order ID])</f>
        <v>30</v>
      </c>
    </row>
    <row r="5" spans="1:5" ht="18" x14ac:dyDescent="0.3">
      <c r="A5" s="5"/>
    </row>
    <row r="7" spans="1:5" ht="18" x14ac:dyDescent="0.3">
      <c r="A7" s="5"/>
    </row>
    <row r="8" spans="1:5" x14ac:dyDescent="0.3">
      <c r="A8" s="8" t="s">
        <v>3</v>
      </c>
      <c r="B8" s="8" t="s">
        <v>10</v>
      </c>
      <c r="D8" s="8" t="s">
        <v>159</v>
      </c>
      <c r="E8" s="8" t="s">
        <v>10</v>
      </c>
    </row>
    <row r="9" spans="1:5" x14ac:dyDescent="0.3">
      <c r="A9" t="s">
        <v>35</v>
      </c>
      <c r="B9">
        <f>SUMIFS(Data[Sales], Data[Region], A9)</f>
        <v>100650</v>
      </c>
      <c r="D9" t="s">
        <v>162</v>
      </c>
      <c r="E9">
        <f>SUMIFS(Data[Sales], Data[Product Category], D9)</f>
        <v>0</v>
      </c>
    </row>
    <row r="10" spans="1:5" x14ac:dyDescent="0.3">
      <c r="A10" t="s">
        <v>29</v>
      </c>
      <c r="B10">
        <f>SUMIFS(Data[Sales], Data[Region], A10)</f>
        <v>53600</v>
      </c>
      <c r="D10" t="s">
        <v>24</v>
      </c>
      <c r="E10">
        <f>SUMIFS(Data[Sales], Data[Product Category], D10)</f>
        <v>89400</v>
      </c>
    </row>
    <row r="11" spans="1:5" x14ac:dyDescent="0.3">
      <c r="A11" t="s">
        <v>15</v>
      </c>
      <c r="B11">
        <f>SUMIFS(Data[Sales], Data[Region], A11)</f>
        <v>37915</v>
      </c>
      <c r="D11" t="s">
        <v>163</v>
      </c>
      <c r="E11">
        <f>SUMIFS(Data[Sales], Data[Product Category], D11)</f>
        <v>0</v>
      </c>
    </row>
    <row r="12" spans="1:5" x14ac:dyDescent="0.3">
      <c r="A12" t="s">
        <v>22</v>
      </c>
      <c r="B12">
        <f>SUMIFS(Data[Sales], Data[Region], A12)</f>
        <v>37270</v>
      </c>
    </row>
    <row r="15" spans="1:5" x14ac:dyDescent="0.3">
      <c r="A15" s="8" t="s">
        <v>160</v>
      </c>
      <c r="B15" s="8" t="s">
        <v>10</v>
      </c>
      <c r="D15" s="8" t="s">
        <v>161</v>
      </c>
      <c r="E15" s="8" t="s">
        <v>10</v>
      </c>
    </row>
    <row r="16" spans="1:5" x14ac:dyDescent="0.3">
      <c r="A16" s="7">
        <v>45292</v>
      </c>
      <c r="B16">
        <f>SUMIFS(Data[Sales], Data[order month], A16)</f>
        <v>67190</v>
      </c>
      <c r="D16" t="str">
        <f>INDEX(Data[Product Name], MATCH(E16, Data[Sales], 0))</f>
        <v>Laptop</v>
      </c>
      <c r="E16">
        <f>LARGE(Data[Sales], 1)</f>
        <v>49500</v>
      </c>
    </row>
    <row r="17" spans="1:5" x14ac:dyDescent="0.3">
      <c r="A17" s="7">
        <v>45323</v>
      </c>
      <c r="B17">
        <f>SUMIFS(Data[Sales], Data[order month], A17)</f>
        <v>132795</v>
      </c>
      <c r="D17" t="str">
        <f>INDEX(Data[Product Name], MATCH(E17, Data[Sales], 0))</f>
        <v>Smartphone</v>
      </c>
      <c r="E17">
        <f>LARGE(Data[Sales], 2)</f>
        <v>18700</v>
      </c>
    </row>
    <row r="18" spans="1:5" x14ac:dyDescent="0.3">
      <c r="A18" s="7">
        <v>45352</v>
      </c>
      <c r="B18">
        <f>SUMIFS(Data[Sales], Data[order month], A18)</f>
        <v>29450</v>
      </c>
      <c r="D18" t="str">
        <f>INDEX(Data[Product Name], MATCH(E18, Data[Sales], 0))</f>
        <v>Recliner</v>
      </c>
      <c r="E18">
        <f>LARGE(Data[Sales], 3)</f>
        <v>17600</v>
      </c>
    </row>
    <row r="19" spans="1:5" x14ac:dyDescent="0.3">
      <c r="A19" s="7">
        <v>45383</v>
      </c>
      <c r="B19">
        <f>SUMIFS(Data[Sales], Data[order month], A19)</f>
        <v>0</v>
      </c>
      <c r="D19" t="str">
        <f>INDEX(Data[Product Name], MATCH(E19, Data[Sales], 0))</f>
        <v>Tablet</v>
      </c>
      <c r="E19">
        <f>LARGE(Data[Sales], 4)</f>
        <v>16200</v>
      </c>
    </row>
    <row r="20" spans="1:5" x14ac:dyDescent="0.3">
      <c r="D20" t="str">
        <f>INDEX(Data[Product Name], MATCH(E20, Data[Sales], 0))</f>
        <v>Sofa</v>
      </c>
      <c r="E20">
        <f>LARGE(Data[Sales], 5)</f>
        <v>14400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04C2-3F06-46E8-B635-1CE5805610FF}">
  <dimension ref="A1:B6"/>
  <sheetViews>
    <sheetView zoomScale="77" workbookViewId="0">
      <selection activeCell="K57" sqref="K57"/>
    </sheetView>
  </sheetViews>
  <sheetFormatPr defaultRowHeight="14.4" x14ac:dyDescent="0.3"/>
  <cols>
    <col min="1" max="1" width="27.109375" bestFit="1" customWidth="1"/>
    <col min="2" max="2" width="19.77734375" bestFit="1" customWidth="1"/>
  </cols>
  <sheetData>
    <row r="1" spans="1:2" ht="25.8" x14ac:dyDescent="0.5">
      <c r="A1" s="9" t="s">
        <v>164</v>
      </c>
    </row>
    <row r="3" spans="1:2" ht="21" x14ac:dyDescent="0.4">
      <c r="A3" s="10" t="s">
        <v>151</v>
      </c>
      <c r="B3" s="13">
        <f>SUM(Data[Sales])</f>
        <v>229435</v>
      </c>
    </row>
    <row r="4" spans="1:2" ht="21" x14ac:dyDescent="0.4">
      <c r="A4" s="11" t="s">
        <v>152</v>
      </c>
      <c r="B4" s="13">
        <f>SUM(Data[Profit])</f>
        <v>35120</v>
      </c>
    </row>
    <row r="5" spans="1:2" ht="21" x14ac:dyDescent="0.4">
      <c r="A5" s="10" t="s">
        <v>153</v>
      </c>
      <c r="B5" s="14">
        <f>AVERAGE(Data[profit margin])</f>
        <v>0.15097944038492153</v>
      </c>
    </row>
    <row r="6" spans="1:2" ht="21" x14ac:dyDescent="0.4">
      <c r="A6" s="11" t="s">
        <v>158</v>
      </c>
      <c r="B6" s="12">
        <f>COUNTA(Data[Order ID])</f>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Sheet2</vt:lpstr>
      <vt:lpstr>Dashboard1</vt:lpstr>
      <vt:lpstr>Calc</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 Indumathi</cp:lastModifiedBy>
  <dcterms:created xsi:type="dcterms:W3CDTF">2025-12-10T13:52:21Z</dcterms:created>
  <dcterms:modified xsi:type="dcterms:W3CDTF">2025-12-11T16:05:39Z</dcterms:modified>
</cp:coreProperties>
</file>